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\OneDrive\Documentos\Sustentare\Acompanhamento_coleta\Readequação de setores\planos\"/>
    </mc:Choice>
  </mc:AlternateContent>
  <xr:revisionPtr revIDLastSave="0" documentId="13_ncr:1_{A6CFA2E7-3067-4E9F-878A-BABB736BAB53}" xr6:coauthVersionLast="47" xr6:coauthVersionMax="47" xr10:uidLastSave="{00000000-0000-0000-0000-000000000000}"/>
  <bookViews>
    <workbookView xWindow="-108" yWindow="-108" windowWidth="23256" windowHeight="12576" activeTab="5" xr2:uid="{CA8D664D-CAE6-410E-9945-B53BD2B06315}"/>
  </bookViews>
  <sheets>
    <sheet name="Ton_planoA" sheetId="1" r:id="rId1"/>
    <sheet name="Tempo_planoA" sheetId="2" r:id="rId2"/>
    <sheet name="Seg_ter_planoB" sheetId="3" r:id="rId3"/>
    <sheet name="Plano_C" sheetId="4" r:id="rId4"/>
    <sheet name="Gráficos_plano_C" sheetId="5" r:id="rId5"/>
    <sheet name="ton_prev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7" i="5" l="1"/>
  <c r="V75" i="4" l="1"/>
  <c r="U75" i="4"/>
  <c r="V71" i="4"/>
  <c r="U71" i="4"/>
  <c r="E33" i="3"/>
  <c r="H6" i="4"/>
  <c r="G7" i="4"/>
  <c r="E12" i="4"/>
  <c r="H7" i="4"/>
  <c r="P75" i="4"/>
  <c r="O75" i="4"/>
  <c r="P71" i="4"/>
  <c r="O71" i="4"/>
  <c r="F65" i="4"/>
  <c r="F66" i="4"/>
  <c r="F67" i="4"/>
  <c r="F68" i="4"/>
  <c r="F69" i="4"/>
  <c r="F64" i="4"/>
  <c r="F57" i="4"/>
  <c r="F58" i="4"/>
  <c r="F59" i="4"/>
  <c r="F60" i="4"/>
  <c r="F61" i="4"/>
  <c r="F56" i="4"/>
  <c r="H22" i="4"/>
  <c r="P67" i="4"/>
  <c r="O67" i="4"/>
  <c r="G22" i="4"/>
  <c r="D28" i="4"/>
  <c r="F28" i="4" s="1"/>
  <c r="P62" i="4"/>
  <c r="O62" i="4"/>
  <c r="P58" i="4"/>
  <c r="O58" i="4"/>
  <c r="P53" i="4"/>
  <c r="O53" i="4"/>
  <c r="P49" i="4"/>
  <c r="O49" i="4"/>
  <c r="P44" i="4"/>
  <c r="O44" i="4"/>
  <c r="D12" i="4"/>
  <c r="E16" i="4"/>
  <c r="F16" i="4" s="1"/>
  <c r="P34" i="4"/>
  <c r="O34" i="4"/>
  <c r="G18" i="3"/>
  <c r="Q30" i="4"/>
  <c r="P30" i="4"/>
  <c r="F43" i="4"/>
  <c r="F42" i="4"/>
  <c r="F41" i="4"/>
  <c r="F40" i="4"/>
  <c r="F39" i="4"/>
  <c r="F38" i="4"/>
  <c r="F52" i="4"/>
  <c r="F51" i="4"/>
  <c r="F50" i="4"/>
  <c r="F49" i="4"/>
  <c r="F48" i="4"/>
  <c r="F47" i="4"/>
  <c r="P22" i="4"/>
  <c r="O22" i="4"/>
  <c r="P18" i="4"/>
  <c r="O18" i="4"/>
  <c r="O14" i="4"/>
  <c r="P14" i="4"/>
  <c r="Q14" i="4" s="1"/>
  <c r="F32" i="4"/>
  <c r="F31" i="4"/>
  <c r="F30" i="4"/>
  <c r="F29" i="4"/>
  <c r="F15" i="4"/>
  <c r="F14" i="4"/>
  <c r="F13" i="4"/>
  <c r="Q10" i="4"/>
  <c r="P6" i="4"/>
  <c r="O6" i="4"/>
  <c r="F25" i="4"/>
  <c r="I25" i="4" s="1"/>
  <c r="F24" i="4"/>
  <c r="I24" i="4" s="1"/>
  <c r="F23" i="4"/>
  <c r="I23" i="4" s="1"/>
  <c r="F22" i="4"/>
  <c r="F21" i="4"/>
  <c r="I21" i="4" s="1"/>
  <c r="F6" i="4"/>
  <c r="F7" i="4"/>
  <c r="F8" i="4"/>
  <c r="I8" i="4" s="1"/>
  <c r="F9" i="4"/>
  <c r="I9" i="4" s="1"/>
  <c r="F5" i="4"/>
  <c r="I5" i="4" s="1"/>
  <c r="G27" i="3"/>
  <c r="G10" i="3"/>
  <c r="I21" i="2"/>
  <c r="I22" i="2"/>
  <c r="I23" i="2"/>
  <c r="I24" i="2"/>
  <c r="I25" i="2"/>
  <c r="I20" i="2"/>
  <c r="F24" i="1"/>
  <c r="F25" i="1"/>
  <c r="F26" i="1"/>
  <c r="F27" i="1"/>
  <c r="F28" i="1"/>
  <c r="F23" i="1"/>
  <c r="O28" i="2"/>
  <c r="P28" i="2"/>
  <c r="S37" i="2"/>
  <c r="O38" i="2"/>
  <c r="O37" i="2"/>
  <c r="O35" i="2"/>
  <c r="O34" i="2"/>
  <c r="O33" i="2"/>
  <c r="D27" i="3"/>
  <c r="F27" i="3" s="1"/>
  <c r="D35" i="3"/>
  <c r="F35" i="3" s="1"/>
  <c r="F33" i="3"/>
  <c r="E26" i="3"/>
  <c r="F26" i="3" s="1"/>
  <c r="N56" i="3"/>
  <c r="M56" i="3"/>
  <c r="N52" i="3"/>
  <c r="M52" i="3"/>
  <c r="N48" i="3"/>
  <c r="M48" i="3"/>
  <c r="F34" i="3"/>
  <c r="F32" i="3"/>
  <c r="F31" i="3"/>
  <c r="F30" i="3"/>
  <c r="F25" i="3"/>
  <c r="F24" i="3"/>
  <c r="F23" i="3"/>
  <c r="F22" i="3"/>
  <c r="F18" i="3"/>
  <c r="F17" i="3"/>
  <c r="F16" i="3"/>
  <c r="F15" i="3"/>
  <c r="F14" i="3"/>
  <c r="F13" i="3"/>
  <c r="F6" i="3"/>
  <c r="F7" i="3"/>
  <c r="F8" i="3"/>
  <c r="F9" i="3"/>
  <c r="F10" i="3"/>
  <c r="F5" i="3"/>
  <c r="N44" i="3"/>
  <c r="M44" i="3"/>
  <c r="N40" i="3"/>
  <c r="M40" i="3"/>
  <c r="N36" i="3"/>
  <c r="M36" i="3"/>
  <c r="N32" i="3"/>
  <c r="M32" i="3"/>
  <c r="N28" i="3"/>
  <c r="M28" i="3"/>
  <c r="T15" i="3"/>
  <c r="T14" i="3"/>
  <c r="N24" i="3"/>
  <c r="M24" i="3"/>
  <c r="F21" i="2"/>
  <c r="F22" i="2"/>
  <c r="F23" i="2"/>
  <c r="F24" i="2"/>
  <c r="F25" i="2"/>
  <c r="F20" i="2"/>
  <c r="L20" i="2"/>
  <c r="G4" i="2"/>
  <c r="G5" i="2"/>
  <c r="G6" i="2"/>
  <c r="G7" i="2"/>
  <c r="G3" i="2"/>
  <c r="G2" i="2"/>
  <c r="F3" i="2"/>
  <c r="F4" i="2"/>
  <c r="F5" i="2"/>
  <c r="F6" i="2"/>
  <c r="F7" i="2"/>
  <c r="F2" i="2"/>
  <c r="D8" i="1"/>
  <c r="D6" i="1"/>
  <c r="D7" i="1"/>
  <c r="D5" i="1"/>
  <c r="D4" i="1"/>
  <c r="D3" i="1"/>
  <c r="I22" i="4" l="1"/>
  <c r="I7" i="4"/>
  <c r="F12" i="4"/>
  <c r="I6" i="4"/>
  <c r="Q22" i="4"/>
</calcChain>
</file>

<file path=xl/sharedStrings.xml><?xml version="1.0" encoding="utf-8"?>
<sst xmlns="http://schemas.openxmlformats.org/spreadsheetml/2006/main" count="196" uniqueCount="51">
  <si>
    <t>Setor</t>
  </si>
  <si>
    <t>Ton</t>
  </si>
  <si>
    <t>Ton_i</t>
  </si>
  <si>
    <t>Add</t>
  </si>
  <si>
    <t>Sub</t>
  </si>
  <si>
    <t>INI</t>
  </si>
  <si>
    <t>FIN</t>
  </si>
  <si>
    <t>ADD</t>
  </si>
  <si>
    <t>Horas</t>
  </si>
  <si>
    <t>KM</t>
  </si>
  <si>
    <t xml:space="preserve">Vila verde </t>
  </si>
  <si>
    <t>Arco Iris</t>
  </si>
  <si>
    <t>Bachadão</t>
  </si>
  <si>
    <t>Seg</t>
  </si>
  <si>
    <t xml:space="preserve">São Caetano </t>
  </si>
  <si>
    <t xml:space="preserve">Jardim Ipanema </t>
  </si>
  <si>
    <t>R.Quatorze R.Jacutinga</t>
  </si>
  <si>
    <t>Jardim Novo II</t>
  </si>
  <si>
    <t>Palmeiras (ruas 2 a 8) + D.Ville</t>
  </si>
  <si>
    <t xml:space="preserve">Jardim Paulista </t>
  </si>
  <si>
    <t xml:space="preserve">Recanto Paraiso </t>
  </si>
  <si>
    <t xml:space="preserve">Jardim Boa Vista </t>
  </si>
  <si>
    <t>Palmeiras (ruas 2 a 6) + D.Ville</t>
  </si>
  <si>
    <t>Coleta</t>
  </si>
  <si>
    <t>Desl</t>
  </si>
  <si>
    <t>Desc</t>
  </si>
  <si>
    <t>Total</t>
  </si>
  <si>
    <t>Seg_Qua_Sex</t>
  </si>
  <si>
    <t>Proj</t>
  </si>
  <si>
    <t>Ter_Qui_Sab</t>
  </si>
  <si>
    <t>Hora</t>
  </si>
  <si>
    <t>In</t>
  </si>
  <si>
    <t>Fin</t>
  </si>
  <si>
    <t xml:space="preserve">Vila Scarpa - Jard. Botânico </t>
  </si>
  <si>
    <t>Rua 2 até marginal</t>
  </si>
  <si>
    <t>Jardim Itapuã</t>
  </si>
  <si>
    <t>JD America (av's 56, 54 e 52)</t>
  </si>
  <si>
    <t>Ter_Qui_Sex</t>
  </si>
  <si>
    <t xml:space="preserve">Jd. América </t>
  </si>
  <si>
    <t>Cidade Nova</t>
  </si>
  <si>
    <t>Ruas 3 e 4 (aparecido)</t>
  </si>
  <si>
    <t>Espaço Happy</t>
  </si>
  <si>
    <t>Consolação (pt1)</t>
  </si>
  <si>
    <t>Consolação (pt2)</t>
  </si>
  <si>
    <t>JD Inocop</t>
  </si>
  <si>
    <t>JD Inocop pt2</t>
  </si>
  <si>
    <t>Estrada dos costas(residencial vista alegre)</t>
  </si>
  <si>
    <t xml:space="preserve">JD Nova Rio Claro </t>
  </si>
  <si>
    <t>JD Novo 2</t>
  </si>
  <si>
    <t>setor</t>
  </si>
  <si>
    <t>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</si>
</sst>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([$€]* #,##0.00_);_([$€]* \(#,##0.00\);_([$€]* &quot;-&quot;??_);_(@_)"/>
    <numFmt numFmtId="166" formatCode="[h]:mm"/>
    <numFmt numFmtId="167" formatCode="[h]:mm:ss;@"/>
    <numFmt numFmtId="168" formatCode="[$-F400]h:mm:ss\ AM/PM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72">
    <xf numFmtId="0" fontId="0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4" fillId="0" borderId="0">
      <alignment vertical="top"/>
    </xf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4" fillId="0" borderId="0">
      <alignment vertical="top"/>
    </xf>
    <xf numFmtId="9" fontId="4" fillId="0" borderId="0" applyFont="0" applyFill="0" applyBorder="0" applyAlignment="0" applyProtection="0">
      <alignment vertical="top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top"/>
    </xf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top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4" fillId="0" borderId="0" applyFont="0" applyFill="0" applyBorder="0" applyAlignment="0" applyProtection="0">
      <alignment vertical="top"/>
    </xf>
    <xf numFmtId="43" fontId="4" fillId="0" borderId="0" applyFont="0" applyFill="0" applyBorder="0" applyAlignment="0" applyProtection="0">
      <alignment vertical="top"/>
    </xf>
    <xf numFmtId="0" fontId="5" fillId="2" borderId="0" applyBorder="0" applyAlignment="0"/>
    <xf numFmtId="0" fontId="1" fillId="0" borderId="0" applyNumberFormat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top"/>
    </xf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top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>
      <alignment vertical="top"/>
    </xf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top"/>
    </xf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top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>
      <alignment vertical="top"/>
    </xf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/>
    <xf numFmtId="46" fontId="0" fillId="0" borderId="0" xfId="0" applyNumberFormat="1"/>
    <xf numFmtId="0" fontId="0" fillId="0" borderId="0" xfId="0" applyAlignment="1">
      <alignment vertical="center" wrapText="1"/>
    </xf>
    <xf numFmtId="20" fontId="0" fillId="0" borderId="0" xfId="0" applyNumberFormat="1"/>
    <xf numFmtId="167" fontId="0" fillId="0" borderId="0" xfId="0" applyNumberFormat="1"/>
    <xf numFmtId="2" fontId="0" fillId="0" borderId="0" xfId="0" applyNumberFormat="1"/>
    <xf numFmtId="0" fontId="0" fillId="0" borderId="4" xfId="0" applyBorder="1"/>
    <xf numFmtId="0" fontId="0" fillId="0" borderId="2" xfId="0" applyBorder="1"/>
    <xf numFmtId="0" fontId="0" fillId="0" borderId="3" xfId="0" applyBorder="1"/>
    <xf numFmtId="20" fontId="0" fillId="0" borderId="3" xfId="0" applyNumberFormat="1" applyBorder="1"/>
    <xf numFmtId="0" fontId="0" fillId="0" borderId="10" xfId="0" applyBorder="1" applyAlignment="1">
      <alignment horizontal="left"/>
    </xf>
    <xf numFmtId="0" fontId="0" fillId="0" borderId="8" xfId="0" applyBorder="1"/>
    <xf numFmtId="167" fontId="0" fillId="0" borderId="4" xfId="0" applyNumberFormat="1" applyBorder="1"/>
    <xf numFmtId="0" fontId="0" fillId="0" borderId="6" xfId="0" applyBorder="1"/>
    <xf numFmtId="0" fontId="0" fillId="0" borderId="1" xfId="0" applyBorder="1"/>
    <xf numFmtId="167" fontId="0" fillId="0" borderId="2" xfId="0" applyNumberFormat="1" applyBorder="1"/>
    <xf numFmtId="0" fontId="0" fillId="0" borderId="1" xfId="0" applyBorder="1" applyAlignment="1">
      <alignment horizontal="left"/>
    </xf>
    <xf numFmtId="0" fontId="0" fillId="0" borderId="7" xfId="0" applyBorder="1"/>
    <xf numFmtId="0" fontId="0" fillId="0" borderId="9" xfId="0" applyBorder="1"/>
    <xf numFmtId="167" fontId="0" fillId="0" borderId="3" xfId="0" applyNumberFormat="1" applyBorder="1"/>
    <xf numFmtId="4" fontId="0" fillId="0" borderId="4" xfId="0" applyNumberFormat="1" applyBorder="1"/>
    <xf numFmtId="2" fontId="0" fillId="0" borderId="4" xfId="0" applyNumberFormat="1" applyBorder="1"/>
    <xf numFmtId="20" fontId="0" fillId="0" borderId="4" xfId="0" applyNumberFormat="1" applyBorder="1"/>
    <xf numFmtId="0" fontId="0" fillId="0" borderId="5" xfId="0" applyBorder="1"/>
    <xf numFmtId="0" fontId="0" fillId="0" borderId="11" xfId="0" applyBorder="1"/>
    <xf numFmtId="0" fontId="0" fillId="0" borderId="10" xfId="0" applyBorder="1"/>
    <xf numFmtId="168" fontId="0" fillId="0" borderId="0" xfId="0" applyNumberFormat="1"/>
    <xf numFmtId="168" fontId="0" fillId="0" borderId="2" xfId="0" applyNumberFormat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72">
    <cellStyle name="Estilo 1" xfId="57" xr:uid="{78882D6E-E3E1-4EDA-B509-2C87F9EC7C57}"/>
    <cellStyle name="Estilo 2" xfId="58" xr:uid="{79C97AB1-5B59-48B5-8C07-7331F269A6E1}"/>
    <cellStyle name="Euro" xfId="1" xr:uid="{1FED7F4E-AB67-4F67-858B-D6F3EDEC1A06}"/>
    <cellStyle name="Moeda 2" xfId="2" xr:uid="{D0AD0B3A-9303-4667-A5E3-D9351DD27CC1}"/>
    <cellStyle name="Moeda 2 2" xfId="3" xr:uid="{DA3C0813-6B42-4F34-99E8-E4A2352CD092}"/>
    <cellStyle name="Moeda 2 3" xfId="4" xr:uid="{55359ACE-0915-40DD-A5EB-31101F5AF24F}"/>
    <cellStyle name="Moeda 2 4" xfId="5" xr:uid="{DF6877F6-9E90-4AF2-A977-E39A02628AE3}"/>
    <cellStyle name="Normal" xfId="0" builtinId="0"/>
    <cellStyle name="Normal 2" xfId="6" xr:uid="{8AB98146-6288-45F0-9CD3-8EEF9C632145}"/>
    <cellStyle name="Normal 2 2" xfId="7" xr:uid="{05063F17-0E63-4984-90CE-4E006101E2EC}"/>
    <cellStyle name="Normal 2 2 2" xfId="8" xr:uid="{8333DE4C-279A-4AD0-BC42-6D5B823FC0A2}"/>
    <cellStyle name="Normal 2 2 3" xfId="9" xr:uid="{244A87DD-E52F-4D4E-872B-3B298F1758D4}"/>
    <cellStyle name="Normal 2 2 4" xfId="10" xr:uid="{1ECE7F84-E1DE-4125-9C33-48B31CB0FAB5}"/>
    <cellStyle name="Normal 2 2 5" xfId="11" xr:uid="{DE3EBBC7-4FE0-4D67-BB3C-B6814F2BF82E}"/>
    <cellStyle name="Normal 2 2 6" xfId="12" xr:uid="{11E367E3-AD67-4FC2-BCF5-F5A2D04A3944}"/>
    <cellStyle name="Normal 2 2 7" xfId="13" xr:uid="{E8367D42-EE69-49D4-832A-E3D2AEC22AD4}"/>
    <cellStyle name="Normal 2_Avaliação Substituição de Caminhões - Coleta REV8" xfId="14" xr:uid="{30559273-A907-47C6-9A7E-7CCEB646669F}"/>
    <cellStyle name="Normal 3" xfId="15" xr:uid="{95343D80-F90B-4B4F-BCB6-16F05BC549A9}"/>
    <cellStyle name="Normal 3 2" xfId="16" xr:uid="{6BB66EC0-CF8D-4976-BA32-956D96BC3D96}"/>
    <cellStyle name="Normal 3 3" xfId="17" xr:uid="{C1B3D650-4440-4A23-9295-2B29CD2D8876}"/>
    <cellStyle name="Normal 3 4" xfId="18" xr:uid="{EFD9297B-7751-4DC1-B295-EFCF465E9927}"/>
    <cellStyle name="Normal 4" xfId="19" xr:uid="{AD5D3ABA-4FB6-436A-8925-A435BC3F3291}"/>
    <cellStyle name="Normal 5" xfId="20" xr:uid="{9E37F9F8-C3F4-4F5D-A96D-B004D1B00396}"/>
    <cellStyle name="Normal 6" xfId="21" xr:uid="{3DA79D06-81DD-4D5F-82A7-FE3CA72AE499}"/>
    <cellStyle name="Normal 7" xfId="59" xr:uid="{558ACCA1-5DDD-4778-88E2-149D19686924}"/>
    <cellStyle name="Porcentagem 2" xfId="22" xr:uid="{56209A2F-F627-4B20-802D-C1B6A4ADF22D}"/>
    <cellStyle name="Porcentagem 2 2" xfId="23" xr:uid="{2067E288-5F25-4D9A-ABCE-72A584441454}"/>
    <cellStyle name="Porcentagem 2 2 2" xfId="24" xr:uid="{162C895B-F3BF-4C73-82E2-0DD2C16D4574}"/>
    <cellStyle name="Porcentagem 2 2 3" xfId="25" xr:uid="{4604C0AB-41DF-4F24-975E-1DC2EC9A0165}"/>
    <cellStyle name="Porcentagem 2 2 4" xfId="26" xr:uid="{716C9A41-6F09-474C-979C-0D64BB26B50B}"/>
    <cellStyle name="Porcentagem 3" xfId="27" xr:uid="{B332E51E-7E03-46BB-8650-EA3A4035BE49}"/>
    <cellStyle name="Porcentagem 3 2" xfId="28" xr:uid="{63A893A9-142F-4B5C-AC38-9FB552FBF38F}"/>
    <cellStyle name="Porcentagem 3 3" xfId="29" xr:uid="{A47FF113-10DD-46BD-9AA6-27E52DD41465}"/>
    <cellStyle name="Porcentagem 3 4" xfId="30" xr:uid="{88A17C06-B4B5-4F36-B3DC-7592A0AEDE87}"/>
    <cellStyle name="Porcentagem 4" xfId="31" xr:uid="{99EE69FA-D6F9-44ED-B09D-584768175F9E}"/>
    <cellStyle name="Porcentagem 5" xfId="60" xr:uid="{03BEBFFA-41C5-4F66-996D-838AD6484DEA}"/>
    <cellStyle name="Separador de milhares 10" xfId="33" xr:uid="{C90EABF4-1F08-4998-BE9E-82DD8E681CDF}"/>
    <cellStyle name="Separador de milhares 10 2" xfId="63" xr:uid="{4E55DEAD-560F-4BF6-8557-E4F27DADA03C}"/>
    <cellStyle name="Separador de milhares 10 2 2" xfId="124" xr:uid="{E87FE633-DF89-4B13-ADEE-8121A334D46E}"/>
    <cellStyle name="Separador de milhares 10 3" xfId="88" xr:uid="{4F1D73F4-424B-4C5C-855F-8B0023F5B065}"/>
    <cellStyle name="Separador de milhares 10 3 2" xfId="149" xr:uid="{8E508AE3-C4F2-4EED-9AED-0FDB95256D44}"/>
    <cellStyle name="Separador de milhares 10 4" xfId="100" xr:uid="{EFCCC7C5-0B8E-4A93-8FC2-97F9EDB87A4D}"/>
    <cellStyle name="Separador de milhares 10 4 2" xfId="161" xr:uid="{28FA0415-9CB7-467F-82C3-F3DFDFF0DFDD}"/>
    <cellStyle name="Separador de milhares 10 5" xfId="112" xr:uid="{F4A06429-E5CB-4A75-BEA1-A87ACDCB01AD}"/>
    <cellStyle name="Separador de milhares 2" xfId="34" xr:uid="{78A83FEF-81D0-431A-9D53-C7CC6E07A414}"/>
    <cellStyle name="Separador de milhares 2 2" xfId="35" xr:uid="{BA3979E8-7C73-49F6-86F9-6AA9F0955C7F}"/>
    <cellStyle name="Separador de milhares 2 2 2" xfId="36" xr:uid="{5A7BC4BA-EFF8-4A72-96CB-BD00EE2B7BEF}"/>
    <cellStyle name="Separador de milhares 2 2 2 2" xfId="37" xr:uid="{62108A3C-A112-46B3-A20D-CB3BA0C508E9}"/>
    <cellStyle name="Separador de milhares 2 2 2 2 2" xfId="67" xr:uid="{28C843EA-0540-4F42-A787-4B541964BF76}"/>
    <cellStyle name="Separador de milhares 2 2 2 2 2 2" xfId="128" xr:uid="{017D01E6-A9E6-47A5-8C80-F92522E0D079}"/>
    <cellStyle name="Separador de milhares 2 2 2 3" xfId="66" xr:uid="{B358F00B-261D-4929-A60F-2172E7359BB2}"/>
    <cellStyle name="Separador de milhares 2 2 2 3 2" xfId="127" xr:uid="{11CE2881-7C0F-4A56-9296-94890629FD25}"/>
    <cellStyle name="Separador de milhares 2 2 3" xfId="38" xr:uid="{915E6CB0-A52F-49E4-AB82-C00CE734EABE}"/>
    <cellStyle name="Separador de milhares 2 2 3 2" xfId="68" xr:uid="{E3693420-2195-4C8C-8977-DEC6512B2F83}"/>
    <cellStyle name="Separador de milhares 2 2 3 2 2" xfId="129" xr:uid="{11D80D6A-BF00-4A6E-9C91-8A2C51E0803A}"/>
    <cellStyle name="Separador de milhares 2 2 4" xfId="39" xr:uid="{33A48965-329D-4038-AF24-B602F244BEE7}"/>
    <cellStyle name="Separador de milhares 2 2 4 2" xfId="69" xr:uid="{23CECD1D-FF6B-4CA9-AF64-EC73B681971D}"/>
    <cellStyle name="Separador de milhares 2 2 4 2 2" xfId="130" xr:uid="{9C131968-D1FE-4034-99D8-117C7EBEF03B}"/>
    <cellStyle name="Separador de milhares 2 2 5" xfId="40" xr:uid="{D16F2EC6-E275-4969-BBBC-2F5886197304}"/>
    <cellStyle name="Separador de milhares 2 2 5 2" xfId="70" xr:uid="{3C4215CC-BCFE-4A6E-82AA-3C42434C2181}"/>
    <cellStyle name="Separador de milhares 2 2 5 2 2" xfId="131" xr:uid="{BBA9AEF7-6E40-446C-A38B-0BC51E3DA2D6}"/>
    <cellStyle name="Separador de milhares 2 2 6" xfId="65" xr:uid="{90375EAA-68C5-4F00-9C32-2BCD2D308495}"/>
    <cellStyle name="Separador de milhares 2 2 6 2" xfId="126" xr:uid="{FB1E29B6-64CE-4AD4-ACC0-40CC12FBAD2C}"/>
    <cellStyle name="Separador de milhares 2 3" xfId="64" xr:uid="{7B2CEDF0-5919-4AEE-A203-746147163E39}"/>
    <cellStyle name="Separador de milhares 2 3 2" xfId="125" xr:uid="{94897544-0801-401B-AF0D-F8587834E967}"/>
    <cellStyle name="Separador de milhares 3" xfId="41" xr:uid="{7A3AF074-AFE0-4FB8-8601-6F09B43D15E4}"/>
    <cellStyle name="Separador de milhares 3 2" xfId="42" xr:uid="{07521ABB-CE06-4BEC-B9B8-722E591FB228}"/>
    <cellStyle name="Separador de milhares 3 2 2" xfId="72" xr:uid="{D96B39AA-F40E-45BD-A4E3-FF7689252618}"/>
    <cellStyle name="Separador de milhares 3 2 2 2" xfId="133" xr:uid="{2C6C87D7-A897-4A60-9B0B-7D188AB57C06}"/>
    <cellStyle name="Separador de milhares 3 3" xfId="43" xr:uid="{BCB5FC28-AF6E-4263-B90C-369A4610AB82}"/>
    <cellStyle name="Separador de milhares 3 3 2" xfId="73" xr:uid="{5BC0CDD2-8994-4733-95A0-AEDFC910FD35}"/>
    <cellStyle name="Separador de milhares 3 3 2 2" xfId="134" xr:uid="{64E7452C-0053-444F-9DBA-052F0AD17356}"/>
    <cellStyle name="Separador de milhares 3 4" xfId="44" xr:uid="{B67A8D7D-9BDB-44D4-92FD-A4E0B928664E}"/>
    <cellStyle name="Separador de milhares 3 4 2" xfId="74" xr:uid="{9D33ECE5-48DE-4A47-ADBC-AA7096BF7622}"/>
    <cellStyle name="Separador de milhares 3 4 2 2" xfId="135" xr:uid="{D054F64E-E74B-4763-9EEA-07F1B9E8492B}"/>
    <cellStyle name="Separador de milhares 3 5" xfId="71" xr:uid="{7087AAB6-8EBF-4171-8828-17B8DCD904EF}"/>
    <cellStyle name="Separador de milhares 3 5 2" xfId="132" xr:uid="{959402AE-5DFD-461B-B5BB-94EBEBF9FE41}"/>
    <cellStyle name="Separador de milhares 4" xfId="45" xr:uid="{B3BE617D-E97B-4C6A-BA67-8C1670C3256E}"/>
    <cellStyle name="Separador de milhares 4 2" xfId="75" xr:uid="{38D678A8-2843-4212-9638-F3C79F93B463}"/>
    <cellStyle name="Separador de milhares 4 2 2" xfId="136" xr:uid="{936B9D92-C0F2-4A60-95D2-10E7AA5F270E}"/>
    <cellStyle name="Separador de milhares 5" xfId="46" xr:uid="{37FD0771-6E28-4984-AE39-7EC43D07713C}"/>
    <cellStyle name="Separador de milhares 5 2" xfId="76" xr:uid="{C4ADEAF6-29A0-4B09-8CCD-817F657182EF}"/>
    <cellStyle name="Separador de milhares 5 2 2" xfId="137" xr:uid="{427AF869-A2AB-4CD0-BD39-F2394AF28370}"/>
    <cellStyle name="Separador de milhares 5 3" xfId="89" xr:uid="{AA522582-C0CB-4553-B9A9-B5B74F3FBF32}"/>
    <cellStyle name="Separador de milhares 5 3 2" xfId="150" xr:uid="{25F42295-77DE-4110-89B2-DD613E6F937C}"/>
    <cellStyle name="Separador de milhares 5 4" xfId="101" xr:uid="{77D79A33-503E-4F00-9B1F-0AE560678330}"/>
    <cellStyle name="Separador de milhares 5 4 2" xfId="162" xr:uid="{1C839016-0BD4-4804-AD74-D5F36E836E2A}"/>
    <cellStyle name="Separador de milhares 5 5" xfId="113" xr:uid="{56D47898-67C4-477B-BBE8-47A4E5BCB37C}"/>
    <cellStyle name="Separador de milhares 57" xfId="47" xr:uid="{72FA8612-133F-480F-9498-E641115645B4}"/>
    <cellStyle name="Separador de milhares 57 2" xfId="77" xr:uid="{AFAD4E94-2ADE-44B9-857F-1830AE37041E}"/>
    <cellStyle name="Separador de milhares 57 2 2" xfId="138" xr:uid="{D2CF359C-BB8F-42B4-829D-6B4048B7D27B}"/>
    <cellStyle name="Separador de milhares 57 3" xfId="90" xr:uid="{4CBB2E07-AE0B-40E3-ACF5-6F4C648FC0F4}"/>
    <cellStyle name="Separador de milhares 57 3 2" xfId="151" xr:uid="{426A7736-85E1-4149-B28A-4D7484C62413}"/>
    <cellStyle name="Separador de milhares 57 4" xfId="102" xr:uid="{3767EF7E-BCE9-4D24-AC8E-81F4ED1348FC}"/>
    <cellStyle name="Separador de milhares 57 4 2" xfId="163" xr:uid="{3E26D9CA-6533-4BB6-9EAB-93C9FF512EC8}"/>
    <cellStyle name="Separador de milhares 57 5" xfId="114" xr:uid="{EF9CFE5F-CA40-4835-B157-CD20EC6ECA16}"/>
    <cellStyle name="Separador de milhares 59" xfId="48" xr:uid="{25F57D95-96E0-403A-9CFF-A38DCBBA2914}"/>
    <cellStyle name="Separador de milhares 59 2" xfId="78" xr:uid="{2DEFE336-42BF-4439-B2ED-CF3527FAD4CA}"/>
    <cellStyle name="Separador de milhares 59 2 2" xfId="139" xr:uid="{C2184DAA-B4A1-46F2-A838-37D2B09FD392}"/>
    <cellStyle name="Separador de milhares 59 3" xfId="91" xr:uid="{C6A79B48-F974-46ED-B27D-45012F31F900}"/>
    <cellStyle name="Separador de milhares 59 3 2" xfId="152" xr:uid="{57BDA6FF-07C3-46AD-B96E-1968573B8BE9}"/>
    <cellStyle name="Separador de milhares 59 4" xfId="103" xr:uid="{034C2288-A997-402F-B57F-C557FE68B1F9}"/>
    <cellStyle name="Separador de milhares 59 4 2" xfId="164" xr:uid="{83E81984-B575-4438-819E-0B10F1D97734}"/>
    <cellStyle name="Separador de milhares 59 5" xfId="115" xr:uid="{E7C3B116-697B-45A1-AC7B-7B0F52EA6FBA}"/>
    <cellStyle name="Separador de milhares 6" xfId="49" xr:uid="{9EED8593-4F9F-4A02-A93E-DF31CDAECC35}"/>
    <cellStyle name="Separador de milhares 6 2" xfId="79" xr:uid="{75217164-8B78-4097-98A1-CD07E70BB5CA}"/>
    <cellStyle name="Separador de milhares 6 2 2" xfId="140" xr:uid="{AC613363-7245-4EF3-80A5-991D67C9D675}"/>
    <cellStyle name="Separador de milhares 6 3" xfId="92" xr:uid="{EE276882-935C-4902-B15E-63AF39E691E2}"/>
    <cellStyle name="Separador de milhares 6 3 2" xfId="153" xr:uid="{EBB0B2A6-A65F-4BC2-BC52-538819E8C2FF}"/>
    <cellStyle name="Separador de milhares 6 4" xfId="104" xr:uid="{CC7E39E4-5348-49FA-A579-4DB1FE7138D9}"/>
    <cellStyle name="Separador de milhares 6 4 2" xfId="165" xr:uid="{927CBD0A-801C-491A-B419-A6E7790CDDCA}"/>
    <cellStyle name="Separador de milhares 6 5" xfId="116" xr:uid="{786E5AF0-89B5-4810-B930-0CD9607CD616}"/>
    <cellStyle name="Separador de milhares 61" xfId="50" xr:uid="{D0A10953-A317-4C3F-A141-8443F38769B6}"/>
    <cellStyle name="Separador de milhares 61 2" xfId="80" xr:uid="{5D1BD6C6-EEE4-4AAF-B57A-A0EF4FB7D96E}"/>
    <cellStyle name="Separador de milhares 61 2 2" xfId="141" xr:uid="{DAB3504F-F419-418A-AD48-30DBBE756233}"/>
    <cellStyle name="Separador de milhares 61 3" xfId="93" xr:uid="{57AD6B72-B199-483A-8879-7D3A76EB0712}"/>
    <cellStyle name="Separador de milhares 61 3 2" xfId="154" xr:uid="{A3734FFF-666E-4A79-BE87-C9CC323144E1}"/>
    <cellStyle name="Separador de milhares 61 4" xfId="105" xr:uid="{8B20E897-403C-43D8-BFF1-28147995E978}"/>
    <cellStyle name="Separador de milhares 61 4 2" xfId="166" xr:uid="{18CF08F6-259A-4A53-AE4A-2EA608EAA32C}"/>
    <cellStyle name="Separador de milhares 61 5" xfId="117" xr:uid="{6A2E7B2B-44B4-440D-B0BC-2BC7E781CE03}"/>
    <cellStyle name="Separador de milhares 63" xfId="51" xr:uid="{B91DCBC2-FEDF-40BD-8219-53128DD34885}"/>
    <cellStyle name="Separador de milhares 63 2" xfId="81" xr:uid="{FD7941B0-4D7B-4B39-8085-FE9627F93D5E}"/>
    <cellStyle name="Separador de milhares 63 2 2" xfId="142" xr:uid="{6A850B6F-4C05-4065-889C-A7496BAF0A3D}"/>
    <cellStyle name="Separador de milhares 63 3" xfId="94" xr:uid="{DA8F2F5B-C268-4CFD-8F4D-ADECCD36C6C7}"/>
    <cellStyle name="Separador de milhares 63 3 2" xfId="155" xr:uid="{67D56779-06A8-4E2A-8B2F-A79E1C302DF4}"/>
    <cellStyle name="Separador de milhares 63 4" xfId="106" xr:uid="{B9C12A7F-509B-4D20-BFCE-88EDDFDC07AF}"/>
    <cellStyle name="Separador de milhares 63 4 2" xfId="167" xr:uid="{1C512F39-1119-4C23-9358-E2CBC0E598E3}"/>
    <cellStyle name="Separador de milhares 63 5" xfId="118" xr:uid="{344761D4-4A83-4635-9EB3-9ED328EABA68}"/>
    <cellStyle name="Separador de milhares 65" xfId="52" xr:uid="{17A62D5E-09DF-4F02-9450-BF55BEA2FB61}"/>
    <cellStyle name="Separador de milhares 65 2" xfId="82" xr:uid="{236030CD-5289-4987-BC5C-7BF2E37A80FA}"/>
    <cellStyle name="Separador de milhares 65 2 2" xfId="143" xr:uid="{ECFAE533-BA07-4885-8E24-C76B2C95FB35}"/>
    <cellStyle name="Separador de milhares 65 3" xfId="95" xr:uid="{C2BE598D-5273-41E0-8C0D-991800FF606D}"/>
    <cellStyle name="Separador de milhares 65 3 2" xfId="156" xr:uid="{2033F6B2-CEF6-4E6E-A9D1-BA3D019A1749}"/>
    <cellStyle name="Separador de milhares 65 4" xfId="107" xr:uid="{E49097DF-FF7A-4645-9B09-68EC4FF33F10}"/>
    <cellStyle name="Separador de milhares 65 4 2" xfId="168" xr:uid="{5AEE50A7-5851-47CE-B68E-AAE16707E900}"/>
    <cellStyle name="Separador de milhares 65 5" xfId="119" xr:uid="{E9EA4CEC-8E8C-46C8-A1A3-57169D83FDD0}"/>
    <cellStyle name="Separador de milhares 67" xfId="53" xr:uid="{4359A4D6-7D0B-435E-AF6B-790159EDBED8}"/>
    <cellStyle name="Separador de milhares 67 2" xfId="83" xr:uid="{D0B5FC94-4C93-4841-A205-C22A3846E812}"/>
    <cellStyle name="Separador de milhares 67 2 2" xfId="144" xr:uid="{C071C716-5D5E-4AA2-89F2-098BFB9D98C1}"/>
    <cellStyle name="Separador de milhares 67 3" xfId="96" xr:uid="{3484BEF4-7464-4C1F-8C2F-8EA7CD8A31A9}"/>
    <cellStyle name="Separador de milhares 67 3 2" xfId="157" xr:uid="{2974CF06-179E-40C6-85E0-B017E508838B}"/>
    <cellStyle name="Separador de milhares 67 4" xfId="108" xr:uid="{3AD08CF7-7A20-4DC7-8633-489F81A50CCE}"/>
    <cellStyle name="Separador de milhares 67 4 2" xfId="169" xr:uid="{8A35436A-DA0C-4051-AB97-7AF29290CCA1}"/>
    <cellStyle name="Separador de milhares 67 5" xfId="120" xr:uid="{9B850959-41B5-4923-8CD7-0F00A2612683}"/>
    <cellStyle name="Separador de milhares 69" xfId="54" xr:uid="{790E2A60-AC85-415D-BC7B-CF8E249B70A3}"/>
    <cellStyle name="Separador de milhares 69 2" xfId="84" xr:uid="{D51E9A25-6679-4207-A561-6490384BF966}"/>
    <cellStyle name="Separador de milhares 69 2 2" xfId="145" xr:uid="{EBC22C44-6464-4EC1-8277-51E08B88DB35}"/>
    <cellStyle name="Separador de milhares 69 3" xfId="97" xr:uid="{86D957F6-F8EC-45CB-A06B-C7162A911DB0}"/>
    <cellStyle name="Separador de milhares 69 3 2" xfId="158" xr:uid="{EE6B19A9-B5F6-414D-8131-F65B379248C0}"/>
    <cellStyle name="Separador de milhares 69 4" xfId="109" xr:uid="{D15FBE67-2957-4455-B6E4-D70632A25F5C}"/>
    <cellStyle name="Separador de milhares 69 4 2" xfId="170" xr:uid="{E7620DAC-2015-4040-83B8-8D7A6A37BE50}"/>
    <cellStyle name="Separador de milhares 69 5" xfId="121" xr:uid="{2BD7900A-8D94-45E6-B3F1-FEA1A8C323B5}"/>
    <cellStyle name="Separador de milhares 7" xfId="55" xr:uid="{0251623A-46CA-4D50-9B0C-4541D8F98D6A}"/>
    <cellStyle name="Vírgula 2" xfId="56" xr:uid="{7EB3DEFE-EE0B-4C0D-96F7-3DF34A3FBD5E}"/>
    <cellStyle name="Vírgula 2 2" xfId="85" xr:uid="{EDE6DB2B-C7E0-4235-ADD9-87E40FE88216}"/>
    <cellStyle name="Vírgula 2 2 2" xfId="146" xr:uid="{7FA69234-19BE-48A9-8821-BDA518472B94}"/>
    <cellStyle name="Vírgula 3" xfId="61" xr:uid="{566139E5-96D8-4137-A5F2-583847622A76}"/>
    <cellStyle name="Vírgula 3 2" xfId="86" xr:uid="{18F18195-455E-4A89-969F-5C069EF0BCE8}"/>
    <cellStyle name="Vírgula 3 2 2" xfId="147" xr:uid="{E4692A7D-9890-417B-9230-539C5FCBDFC8}"/>
    <cellStyle name="Vírgula 3 3" xfId="98" xr:uid="{828DBD03-AA83-4BA1-BA64-DBB7EA602266}"/>
    <cellStyle name="Vírgula 3 3 2" xfId="159" xr:uid="{164AA36A-6732-418B-86C1-8E82E6F49B11}"/>
    <cellStyle name="Vírgula 3 4" xfId="110" xr:uid="{8A7E47E4-3863-4DCF-8B27-23AA278570C8}"/>
    <cellStyle name="Vírgula 3 4 2" xfId="171" xr:uid="{4423617C-1FA8-4F2B-A18C-99958EED012B}"/>
    <cellStyle name="Vírgula 3 5" xfId="122" xr:uid="{53123DB3-579A-4252-97B3-FCAAA9DA4550}"/>
    <cellStyle name="Vírgula 4" xfId="62" xr:uid="{7B6ECF42-0F57-4461-B14A-B2E2D2B38DF5}"/>
    <cellStyle name="Vírgula 4 2" xfId="123" xr:uid="{CC796082-09AC-424A-B26E-FA8D8AD15273}"/>
    <cellStyle name="Vírgula 5" xfId="87" xr:uid="{CFABBCA9-0A9B-472B-B231-845B3C2D7FA3}"/>
    <cellStyle name="Vírgula 5 2" xfId="148" xr:uid="{F01E4916-D402-4291-AEE4-95E9EBD83C45}"/>
    <cellStyle name="Vírgula 6" xfId="99" xr:uid="{05BC6D45-332B-4758-BC78-7143D437CBB1}"/>
    <cellStyle name="Vírgula 6 2" xfId="160" xr:uid="{D1B0B055-AE46-4A84-810F-CFFAD0208712}"/>
    <cellStyle name="Vírgula 7" xfId="32" xr:uid="{CA50F96C-DCAB-4E34-8015-90524E7E9312}"/>
    <cellStyle name="Vírgula 8" xfId="111" xr:uid="{8D69CFFC-F44A-4328-A269-ED7D2EE59DAF}"/>
  </cellStyles>
  <dxfs count="0"/>
  <tableStyles count="1" defaultTableStyle="TableStyleMedium2" defaultPivotStyle="PivotStyleLight16">
    <tableStyle name="Invisible" pivot="0" table="0" count="0" xr9:uid="{F65671A5-2142-472E-97F1-5139208C5E1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Ton_planoA!$B$3:$B$8</c:f>
              <c:numCache>
                <c:formatCode>General</c:formatCode>
                <c:ptCount val="6"/>
                <c:pt idx="0">
                  <c:v>9</c:v>
                </c:pt>
                <c:pt idx="1">
                  <c:v>16</c:v>
                </c:pt>
                <c:pt idx="2">
                  <c:v>20</c:v>
                </c:pt>
                <c:pt idx="3">
                  <c:v>13</c:v>
                </c:pt>
                <c:pt idx="4">
                  <c:v>14</c:v>
                </c:pt>
                <c:pt idx="5">
                  <c:v>18</c:v>
                </c:pt>
              </c:numCache>
            </c:numRef>
          </c:cat>
          <c:val>
            <c:numRef>
              <c:f>Ton_planoA!$D$3:$D$8</c:f>
              <c:numCache>
                <c:formatCode>#,##0.00</c:formatCode>
                <c:ptCount val="6"/>
                <c:pt idx="0">
                  <c:v>19.101379310344825</c:v>
                </c:pt>
                <c:pt idx="1">
                  <c:v>18.126551724137929</c:v>
                </c:pt>
                <c:pt idx="2">
                  <c:v>16.616206896551727</c:v>
                </c:pt>
                <c:pt idx="3">
                  <c:v>16.607931034482757</c:v>
                </c:pt>
                <c:pt idx="4">
                  <c:v>15.26655172413793</c:v>
                </c:pt>
                <c:pt idx="5">
                  <c:v>16.945862068965518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F9-409D-86E6-D4D04640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6087231"/>
        <c:axId val="1726092991"/>
      </c:barChart>
      <c:catAx>
        <c:axId val="1726087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092991"/>
        <c:crosses val="autoZero"/>
        <c:auto val="1"/>
        <c:lblAlgn val="ctr"/>
        <c:lblOffset val="100"/>
        <c:noMultiLvlLbl val="0"/>
      </c:catAx>
      <c:valAx>
        <c:axId val="1726092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087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Ton_planoA!$B$23:$B$28</c:f>
              <c:numCache>
                <c:formatCode>General</c:formatCode>
                <c:ptCount val="6"/>
                <c:pt idx="0">
                  <c:v>17</c:v>
                </c:pt>
                <c:pt idx="1">
                  <c:v>15</c:v>
                </c:pt>
                <c:pt idx="2">
                  <c:v>12</c:v>
                </c:pt>
                <c:pt idx="3">
                  <c:v>10</c:v>
                </c:pt>
                <c:pt idx="4">
                  <c:v>8</c:v>
                </c:pt>
                <c:pt idx="5">
                  <c:v>19</c:v>
                </c:pt>
              </c:numCache>
            </c:numRef>
          </c:cat>
          <c:val>
            <c:numRef>
              <c:f>Ton_planoA!$F$23:$F$28</c:f>
              <c:numCache>
                <c:formatCode>#,##0.00</c:formatCode>
                <c:ptCount val="6"/>
                <c:pt idx="0">
                  <c:v>21.780333333333338</c:v>
                </c:pt>
                <c:pt idx="1">
                  <c:v>23.969666666666672</c:v>
                </c:pt>
                <c:pt idx="2">
                  <c:v>21.828666666666663</c:v>
                </c:pt>
                <c:pt idx="3">
                  <c:v>19.475333333333332</c:v>
                </c:pt>
                <c:pt idx="4">
                  <c:v>18.767666666666667</c:v>
                </c:pt>
                <c:pt idx="5">
                  <c:v>19.972666666666669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A-417C-B624-B45D4C761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7815520"/>
        <c:axId val="1887816000"/>
      </c:barChart>
      <c:catAx>
        <c:axId val="1887815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816000"/>
        <c:crosses val="autoZero"/>
        <c:auto val="1"/>
        <c:lblAlgn val="ctr"/>
        <c:lblOffset val="100"/>
        <c:noMultiLvlLbl val="0"/>
      </c:catAx>
      <c:valAx>
        <c:axId val="188781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81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Tempo_planoA!$B$2:$B$7</c:f>
              <c:numCache>
                <c:formatCode>General</c:formatCode>
                <c:ptCount val="6"/>
                <c:pt idx="0">
                  <c:v>9</c:v>
                </c:pt>
                <c:pt idx="1">
                  <c:v>16</c:v>
                </c:pt>
                <c:pt idx="2">
                  <c:v>18</c:v>
                </c:pt>
                <c:pt idx="3">
                  <c:v>14</c:v>
                </c:pt>
                <c:pt idx="4">
                  <c:v>13</c:v>
                </c:pt>
                <c:pt idx="5">
                  <c:v>20</c:v>
                </c:pt>
              </c:numCache>
            </c:numRef>
          </c:cat>
          <c:val>
            <c:numRef>
              <c:f>Tempo_planoA!$G$2:$G$7</c:f>
              <c:numCache>
                <c:formatCode>[h]:mm:ss;@</c:formatCode>
                <c:ptCount val="6"/>
                <c:pt idx="0">
                  <c:v>0.35148467432950176</c:v>
                </c:pt>
                <c:pt idx="1">
                  <c:v>0.39829980842911872</c:v>
                </c:pt>
                <c:pt idx="2">
                  <c:v>0.42100095785440617</c:v>
                </c:pt>
                <c:pt idx="3">
                  <c:v>0.36240421455938693</c:v>
                </c:pt>
                <c:pt idx="4">
                  <c:v>0.34731800766283516</c:v>
                </c:pt>
                <c:pt idx="5">
                  <c:v>0.34944923371647496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F8-4315-AFCD-B52E5FEC6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50886239"/>
        <c:axId val="1950883359"/>
      </c:barChart>
      <c:catAx>
        <c:axId val="1950886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883359"/>
        <c:crosses val="autoZero"/>
        <c:auto val="1"/>
        <c:lblAlgn val="ctr"/>
        <c:lblOffset val="100"/>
        <c:noMultiLvlLbl val="0"/>
      </c:catAx>
      <c:valAx>
        <c:axId val="1950883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h]:mm:ss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88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Tempo_planoA!$B$20:$B$25</c:f>
              <c:numCache>
                <c:formatCode>General</c:formatCode>
                <c:ptCount val="6"/>
                <c:pt idx="0">
                  <c:v>17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10</c:v>
                </c:pt>
                <c:pt idx="5">
                  <c:v>19</c:v>
                </c:pt>
              </c:numCache>
            </c:numRef>
          </c:cat>
          <c:val>
            <c:numRef>
              <c:f>Tempo_planoA!$I$20:$I$25</c:f>
              <c:numCache>
                <c:formatCode>[h]:mm:ss;@</c:formatCode>
                <c:ptCount val="6"/>
                <c:pt idx="0">
                  <c:v>0.40819444444444442</c:v>
                </c:pt>
                <c:pt idx="1">
                  <c:v>0.41379629629629633</c:v>
                </c:pt>
                <c:pt idx="2">
                  <c:v>0.39393518518518517</c:v>
                </c:pt>
                <c:pt idx="3">
                  <c:v>0.42409722222222213</c:v>
                </c:pt>
                <c:pt idx="4">
                  <c:v>0.39016203703703711</c:v>
                </c:pt>
                <c:pt idx="5">
                  <c:v>0.40043981481481478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07-43DE-B60D-346588E9D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1358144"/>
        <c:axId val="2031359104"/>
      </c:barChart>
      <c:catAx>
        <c:axId val="2031358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359104"/>
        <c:crosses val="autoZero"/>
        <c:auto val="1"/>
        <c:lblAlgn val="ctr"/>
        <c:lblOffset val="100"/>
        <c:noMultiLvlLbl val="0"/>
      </c:catAx>
      <c:valAx>
        <c:axId val="2031359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h]:mm:ss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358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Seg_ter_planoB!$B$55:$B$66</c:f>
              <c:numCache>
                <c:formatCode>General</c:formatCode>
                <c:ptCount val="12"/>
                <c:pt idx="0">
                  <c:v>17</c:v>
                </c:pt>
                <c:pt idx="1">
                  <c:v>15</c:v>
                </c:pt>
                <c:pt idx="2">
                  <c:v>12</c:v>
                </c:pt>
                <c:pt idx="3">
                  <c:v>9</c:v>
                </c:pt>
                <c:pt idx="4">
                  <c:v>10</c:v>
                </c:pt>
                <c:pt idx="5">
                  <c:v>16</c:v>
                </c:pt>
                <c:pt idx="6">
                  <c:v>8</c:v>
                </c:pt>
                <c:pt idx="7">
                  <c:v>19</c:v>
                </c:pt>
                <c:pt idx="8">
                  <c:v>20</c:v>
                </c:pt>
                <c:pt idx="9">
                  <c:v>13</c:v>
                </c:pt>
                <c:pt idx="10">
                  <c:v>14</c:v>
                </c:pt>
                <c:pt idx="11">
                  <c:v>18</c:v>
                </c:pt>
              </c:numCache>
            </c:numRef>
          </c:cat>
          <c:val>
            <c:numRef>
              <c:f>Seg_ter_planoB!$C$55:$C$66</c:f>
              <c:numCache>
                <c:formatCode>0.00</c:formatCode>
                <c:ptCount val="12"/>
                <c:pt idx="0">
                  <c:v>21.780333333333338</c:v>
                </c:pt>
                <c:pt idx="1">
                  <c:v>22.369666666666671</c:v>
                </c:pt>
                <c:pt idx="2">
                  <c:v>18.828666666666663</c:v>
                </c:pt>
                <c:pt idx="3">
                  <c:v>19.101379310344825</c:v>
                </c:pt>
                <c:pt idx="4">
                  <c:v>19.275333333333332</c:v>
                </c:pt>
                <c:pt idx="5">
                  <c:v>18.126551724137929</c:v>
                </c:pt>
                <c:pt idx="6">
                  <c:v>19.267666666666667</c:v>
                </c:pt>
                <c:pt idx="7">
                  <c:v>19.972666666666669</c:v>
                </c:pt>
                <c:pt idx="8">
                  <c:v>16.916206896551728</c:v>
                </c:pt>
                <c:pt idx="9">
                  <c:v>19.107931034482757</c:v>
                </c:pt>
                <c:pt idx="10">
                  <c:v>18.466551724137929</c:v>
                </c:pt>
                <c:pt idx="11">
                  <c:v>16.945862068965518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3D-49A3-871B-7C2E13A257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87380543"/>
        <c:axId val="887380063"/>
      </c:barChart>
      <c:catAx>
        <c:axId val="887380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380063"/>
        <c:crosses val="autoZero"/>
        <c:auto val="1"/>
        <c:lblAlgn val="ctr"/>
        <c:lblOffset val="100"/>
        <c:noMultiLvlLbl val="0"/>
      </c:catAx>
      <c:valAx>
        <c:axId val="88738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380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Seg_ter_planoB!$B$87:$B$98</c:f>
              <c:numCache>
                <c:formatCode>General</c:formatCode>
                <c:ptCount val="12"/>
                <c:pt idx="0">
                  <c:v>17</c:v>
                </c:pt>
                <c:pt idx="1">
                  <c:v>8</c:v>
                </c:pt>
                <c:pt idx="2">
                  <c:v>9</c:v>
                </c:pt>
                <c:pt idx="3">
                  <c:v>16</c:v>
                </c:pt>
                <c:pt idx="4">
                  <c:v>15</c:v>
                </c:pt>
                <c:pt idx="5">
                  <c:v>12</c:v>
                </c:pt>
                <c:pt idx="6">
                  <c:v>10</c:v>
                </c:pt>
                <c:pt idx="7">
                  <c:v>19</c:v>
                </c:pt>
                <c:pt idx="8">
                  <c:v>18</c:v>
                </c:pt>
                <c:pt idx="9">
                  <c:v>14</c:v>
                </c:pt>
                <c:pt idx="10">
                  <c:v>13</c:v>
                </c:pt>
                <c:pt idx="11">
                  <c:v>20</c:v>
                </c:pt>
              </c:numCache>
            </c:numRef>
          </c:cat>
          <c:val>
            <c:numRef>
              <c:f>Seg_ter_planoB!$C$87:$C$98</c:f>
              <c:numCache>
                <c:formatCode>[h]:mm:ss;@</c:formatCode>
                <c:ptCount val="12"/>
                <c:pt idx="0">
                  <c:v>0.40819444444444442</c:v>
                </c:pt>
                <c:pt idx="1">
                  <c:v>0.44851851851851854</c:v>
                </c:pt>
                <c:pt idx="2">
                  <c:v>0.35148467432950176</c:v>
                </c:pt>
                <c:pt idx="3">
                  <c:v>0.39829980842911872</c:v>
                </c:pt>
                <c:pt idx="4">
                  <c:v>0.38282407407407404</c:v>
                </c:pt>
                <c:pt idx="5">
                  <c:v>0.37756944444444435</c:v>
                </c:pt>
                <c:pt idx="6">
                  <c:v>0.3373842592592593</c:v>
                </c:pt>
                <c:pt idx="7">
                  <c:v>0.40043981481481483</c:v>
                </c:pt>
                <c:pt idx="8">
                  <c:v>0.44183429118773948</c:v>
                </c:pt>
                <c:pt idx="9">
                  <c:v>0.41032088122605359</c:v>
                </c:pt>
                <c:pt idx="10">
                  <c:v>0.35495689655172402</c:v>
                </c:pt>
                <c:pt idx="11">
                  <c:v>0.37444923371647498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E6-4092-81DB-5D1CC6B6F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9780223"/>
        <c:axId val="2079779263"/>
      </c:barChart>
      <c:catAx>
        <c:axId val="2079780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779263"/>
        <c:crosses val="autoZero"/>
        <c:auto val="1"/>
        <c:lblAlgn val="ctr"/>
        <c:lblOffset val="100"/>
        <c:noMultiLvlLbl val="0"/>
      </c:catAx>
      <c:valAx>
        <c:axId val="2079779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h]:mm:ss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780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Gráficos_plano_C!$B$38:$B$43</c:f>
              <c:numCache>
                <c:formatCode>General</c:formatCode>
                <c:ptCount val="6"/>
                <c:pt idx="0">
                  <c:v>17</c:v>
                </c:pt>
                <c:pt idx="1">
                  <c:v>15</c:v>
                </c:pt>
                <c:pt idx="2">
                  <c:v>12</c:v>
                </c:pt>
                <c:pt idx="3">
                  <c:v>10</c:v>
                </c:pt>
                <c:pt idx="4">
                  <c:v>8</c:v>
                </c:pt>
                <c:pt idx="5">
                  <c:v>19</c:v>
                </c:pt>
              </c:numCache>
            </c:numRef>
          </c:cat>
          <c:val>
            <c:numRef>
              <c:f>Gráficos_plano_C!$C$38:$C$43</c:f>
              <c:numCache>
                <c:formatCode>0.00</c:formatCode>
                <c:ptCount val="6"/>
                <c:pt idx="0">
                  <c:v>19.780333333333338</c:v>
                </c:pt>
                <c:pt idx="1">
                  <c:v>18.869666666666671</c:v>
                </c:pt>
                <c:pt idx="2">
                  <c:v>18.828666666666663</c:v>
                </c:pt>
                <c:pt idx="3">
                  <c:v>19.275333333333332</c:v>
                </c:pt>
                <c:pt idx="4">
                  <c:v>19.267666666666667</c:v>
                </c:pt>
                <c:pt idx="5">
                  <c:v>19.972666666666669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80-420D-B361-663DB71C4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8424463"/>
        <c:axId val="2078429263"/>
      </c:barChart>
      <c:catAx>
        <c:axId val="2078424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429263"/>
        <c:crosses val="autoZero"/>
        <c:auto val="1"/>
        <c:lblAlgn val="ctr"/>
        <c:lblOffset val="100"/>
        <c:noMultiLvlLbl val="0"/>
      </c:catAx>
      <c:valAx>
        <c:axId val="2078429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42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Gráficos_plano_C!$B$45:$B$49</c:f>
              <c:numCache>
                <c:formatCode>General</c:formatCode>
                <c:ptCount val="5"/>
                <c:pt idx="0">
                  <c:v>2</c:v>
                </c:pt>
                <c:pt idx="1">
                  <c:v>11</c:v>
                </c:pt>
                <c:pt idx="2">
                  <c:v>1</c:v>
                </c:pt>
                <c:pt idx="3">
                  <c:v>6</c:v>
                </c:pt>
                <c:pt idx="4">
                  <c:v>21</c:v>
                </c:pt>
              </c:numCache>
            </c:numRef>
          </c:cat>
          <c:val>
            <c:numRef>
              <c:f>Gráficos_plano_C!$C$45:$C$49</c:f>
              <c:numCache>
                <c:formatCode>[h]:mm:ss;@</c:formatCode>
                <c:ptCount val="5"/>
                <c:pt idx="0">
                  <c:v>0.38053240740740751</c:v>
                </c:pt>
                <c:pt idx="1">
                  <c:v>0.32664351851851847</c:v>
                </c:pt>
                <c:pt idx="2">
                  <c:v>0.31777777777777777</c:v>
                </c:pt>
                <c:pt idx="3">
                  <c:v>0.36087962962962966</c:v>
                </c:pt>
                <c:pt idx="4">
                  <c:v>0.28583333333333333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9A-47F4-8838-50D1CC1E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0904639"/>
        <c:axId val="1060886879"/>
      </c:barChart>
      <c:catAx>
        <c:axId val="1060904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886879"/>
        <c:crosses val="autoZero"/>
        <c:auto val="1"/>
        <c:lblAlgn val="ctr"/>
        <c:lblOffset val="100"/>
        <c:noMultiLvlLbl val="0"/>
      </c:catAx>
      <c:valAx>
        <c:axId val="1060886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h]:mm:ss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904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Gráficos_plano_C!$B$51:$B$55</c:f>
              <c:numCache>
                <c:formatCode>General</c:formatCode>
                <c:ptCount val="5"/>
                <c:pt idx="0">
                  <c:v>11</c:v>
                </c:pt>
                <c:pt idx="1">
                  <c:v>1</c:v>
                </c:pt>
                <c:pt idx="2">
                  <c:v>6</c:v>
                </c:pt>
                <c:pt idx="3">
                  <c:v>2</c:v>
                </c:pt>
                <c:pt idx="4">
                  <c:v>21</c:v>
                </c:pt>
              </c:numCache>
            </c:numRef>
          </c:cat>
          <c:val>
            <c:numRef>
              <c:f>Gráficos_plano_C!$C$51:$C$55</c:f>
              <c:numCache>
                <c:formatCode>0.00</c:formatCode>
                <c:ptCount val="5"/>
                <c:pt idx="0">
                  <c:v>15.949666666666667</c:v>
                </c:pt>
                <c:pt idx="1">
                  <c:v>17.286666666666669</c:v>
                </c:pt>
                <c:pt idx="2">
                  <c:v>17.541</c:v>
                </c:pt>
                <c:pt idx="3">
                  <c:v>17.171666666666667</c:v>
                </c:pt>
                <c:pt idx="4">
                  <c:v>9.7826666666666657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ED-4250-B5BF-EE2FD7B09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4363183"/>
        <c:axId val="2074371343"/>
      </c:barChart>
      <c:catAx>
        <c:axId val="2074363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371343"/>
        <c:crosses val="autoZero"/>
        <c:auto val="1"/>
        <c:lblAlgn val="ctr"/>
        <c:lblOffset val="100"/>
        <c:noMultiLvlLbl val="0"/>
      </c:catAx>
      <c:valAx>
        <c:axId val="207437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363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Gráficos_plano_C!$B$64:$B$84</c:f>
              <c:numCache>
                <c:formatCode>General</c:formatCode>
                <c:ptCount val="21"/>
                <c:pt idx="0">
                  <c:v>19</c:v>
                </c:pt>
                <c:pt idx="1">
                  <c:v>17</c:v>
                </c:pt>
                <c:pt idx="2">
                  <c:v>10</c:v>
                </c:pt>
                <c:pt idx="3">
                  <c:v>8</c:v>
                </c:pt>
                <c:pt idx="4">
                  <c:v>9</c:v>
                </c:pt>
                <c:pt idx="5">
                  <c:v>15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3</c:v>
                </c:pt>
                <c:pt idx="10">
                  <c:v>4</c:v>
                </c:pt>
                <c:pt idx="11">
                  <c:v>6</c:v>
                </c:pt>
                <c:pt idx="12">
                  <c:v>5</c:v>
                </c:pt>
                <c:pt idx="13">
                  <c:v>1</c:v>
                </c:pt>
                <c:pt idx="14">
                  <c:v>2</c:v>
                </c:pt>
                <c:pt idx="15">
                  <c:v>7</c:v>
                </c:pt>
                <c:pt idx="16">
                  <c:v>21</c:v>
                </c:pt>
                <c:pt idx="17">
                  <c:v>13</c:v>
                </c:pt>
                <c:pt idx="18">
                  <c:v>18</c:v>
                </c:pt>
                <c:pt idx="19">
                  <c:v>20</c:v>
                </c:pt>
                <c:pt idx="20">
                  <c:v>11</c:v>
                </c:pt>
              </c:numCache>
            </c:numRef>
          </c:cat>
          <c:val>
            <c:numRef>
              <c:f>Gráficos_plano_C!$C$64:$C$84</c:f>
              <c:numCache>
                <c:formatCode>0.00</c:formatCode>
                <c:ptCount val="21"/>
                <c:pt idx="0">
                  <c:v>19.972666666666669</c:v>
                </c:pt>
                <c:pt idx="1">
                  <c:v>19.780333333333338</c:v>
                </c:pt>
                <c:pt idx="2">
                  <c:v>19.275333333333332</c:v>
                </c:pt>
                <c:pt idx="3">
                  <c:v>19.267666666666667</c:v>
                </c:pt>
                <c:pt idx="4">
                  <c:v>19.101379310344825</c:v>
                </c:pt>
                <c:pt idx="5">
                  <c:v>18.869666666666671</c:v>
                </c:pt>
                <c:pt idx="6">
                  <c:v>18.828666666666663</c:v>
                </c:pt>
                <c:pt idx="7">
                  <c:v>18.466551724137929</c:v>
                </c:pt>
                <c:pt idx="8">
                  <c:v>18.126551724137929</c:v>
                </c:pt>
                <c:pt idx="9">
                  <c:v>17.769666666666669</c:v>
                </c:pt>
                <c:pt idx="10">
                  <c:v>17.619333333333337</c:v>
                </c:pt>
                <c:pt idx="11">
                  <c:v>17.541</c:v>
                </c:pt>
                <c:pt idx="12">
                  <c:v>17.431379310344827</c:v>
                </c:pt>
                <c:pt idx="13">
                  <c:v>17.286666666666669</c:v>
                </c:pt>
                <c:pt idx="14">
                  <c:v>17.171666666666667</c:v>
                </c:pt>
                <c:pt idx="15">
                  <c:v>17.051724137931036</c:v>
                </c:pt>
                <c:pt idx="16">
                  <c:v>17.006551724137932</c:v>
                </c:pt>
                <c:pt idx="17">
                  <c:v>16.957931034482758</c:v>
                </c:pt>
                <c:pt idx="18">
                  <c:v>16.945862068965518</c:v>
                </c:pt>
                <c:pt idx="19">
                  <c:v>16.916206896551728</c:v>
                </c:pt>
                <c:pt idx="20">
                  <c:v>15.949666666666667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3F-4BAC-A2C0-70C6D45E52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77662880"/>
        <c:axId val="1577651360"/>
      </c:barChart>
      <c:catAx>
        <c:axId val="1577662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651360"/>
        <c:crosses val="autoZero"/>
        <c:auto val="1"/>
        <c:lblAlgn val="ctr"/>
        <c:lblOffset val="100"/>
        <c:noMultiLvlLbl val="0"/>
      </c:catAx>
      <c:valAx>
        <c:axId val="157765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662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Gráficos_plano_C!$B$92:$B$112</c:f>
              <c:numCache>
                <c:formatCode>General</c:formatCode>
                <c:ptCount val="21"/>
                <c:pt idx="0">
                  <c:v>8</c:v>
                </c:pt>
                <c:pt idx="1">
                  <c:v>18</c:v>
                </c:pt>
                <c:pt idx="2">
                  <c:v>14</c:v>
                </c:pt>
                <c:pt idx="3">
                  <c:v>17</c:v>
                </c:pt>
                <c:pt idx="4">
                  <c:v>19</c:v>
                </c:pt>
                <c:pt idx="5">
                  <c:v>16</c:v>
                </c:pt>
                <c:pt idx="6">
                  <c:v>2</c:v>
                </c:pt>
                <c:pt idx="7">
                  <c:v>12</c:v>
                </c:pt>
                <c:pt idx="8">
                  <c:v>20</c:v>
                </c:pt>
                <c:pt idx="9">
                  <c:v>6</c:v>
                </c:pt>
                <c:pt idx="10">
                  <c:v>15</c:v>
                </c:pt>
                <c:pt idx="11">
                  <c:v>4</c:v>
                </c:pt>
                <c:pt idx="12">
                  <c:v>9</c:v>
                </c:pt>
                <c:pt idx="13">
                  <c:v>5</c:v>
                </c:pt>
                <c:pt idx="14">
                  <c:v>21</c:v>
                </c:pt>
                <c:pt idx="15">
                  <c:v>7</c:v>
                </c:pt>
                <c:pt idx="16">
                  <c:v>11</c:v>
                </c:pt>
                <c:pt idx="17">
                  <c:v>1</c:v>
                </c:pt>
                <c:pt idx="18">
                  <c:v>13</c:v>
                </c:pt>
                <c:pt idx="19">
                  <c:v>3</c:v>
                </c:pt>
                <c:pt idx="20">
                  <c:v>10</c:v>
                </c:pt>
              </c:numCache>
            </c:numRef>
          </c:cat>
          <c:val>
            <c:numRef>
              <c:f>Gráficos_plano_C!$C$92:$C$112</c:f>
              <c:numCache>
                <c:formatCode>[h]:mm:ss;@</c:formatCode>
                <c:ptCount val="21"/>
                <c:pt idx="0">
                  <c:v>0.44851851851851854</c:v>
                </c:pt>
                <c:pt idx="1">
                  <c:v>0.44183429118773948</c:v>
                </c:pt>
                <c:pt idx="2">
                  <c:v>0.41032088122605359</c:v>
                </c:pt>
                <c:pt idx="3">
                  <c:v>0.40819444444444442</c:v>
                </c:pt>
                <c:pt idx="4">
                  <c:v>0.40043981481481483</c:v>
                </c:pt>
                <c:pt idx="5">
                  <c:v>0.39829980842911872</c:v>
                </c:pt>
                <c:pt idx="6">
                  <c:v>0.38053240740740751</c:v>
                </c:pt>
                <c:pt idx="7">
                  <c:v>0.37756944444444435</c:v>
                </c:pt>
                <c:pt idx="8">
                  <c:v>0.37444923371647498</c:v>
                </c:pt>
                <c:pt idx="9">
                  <c:v>0.36087962962962966</c:v>
                </c:pt>
                <c:pt idx="10">
                  <c:v>0.36060185185185178</c:v>
                </c:pt>
                <c:pt idx="11" formatCode="[$-F400]h:mm:ss\ AM/PM">
                  <c:v>0.35937499999999994</c:v>
                </c:pt>
                <c:pt idx="12">
                  <c:v>0.35148467432950176</c:v>
                </c:pt>
                <c:pt idx="13" formatCode="[$-F400]h:mm:ss\ AM/PM">
                  <c:v>0.34410919540229878</c:v>
                </c:pt>
                <c:pt idx="14" formatCode="[$-F400]h:mm:ss\ AM/PM">
                  <c:v>0.34288793103448284</c:v>
                </c:pt>
                <c:pt idx="15" formatCode="[$-F400]h:mm:ss\ AM/PM">
                  <c:v>0.33139367816091952</c:v>
                </c:pt>
                <c:pt idx="16">
                  <c:v>0.32664351851851847</c:v>
                </c:pt>
                <c:pt idx="17">
                  <c:v>0.31777777777777777</c:v>
                </c:pt>
                <c:pt idx="18">
                  <c:v>0.31537356321839072</c:v>
                </c:pt>
                <c:pt idx="19" formatCode="[$-F400]h:mm:ss\ AM/PM">
                  <c:v>0.3131250000000001</c:v>
                </c:pt>
                <c:pt idx="20">
                  <c:v>0.29363425925925934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6A-41B6-BE6D-D8F0F76BF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4021280"/>
        <c:axId val="1702401552"/>
      </c:barChart>
      <c:catAx>
        <c:axId val="334021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401552"/>
        <c:crosses val="autoZero"/>
        <c:auto val="1"/>
        <c:lblAlgn val="ctr"/>
        <c:lblOffset val="100"/>
        <c:noMultiLvlLbl val="0"/>
      </c:catAx>
      <c:valAx>
        <c:axId val="170240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h]:mm:ss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02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449580</xdr:colOff>
      <xdr:row>0</xdr:row>
      <xdr:rowOff>64770</xdr:rowOff>
    </xdr:from>
    <xdr:to>
      <xdr:col>17</xdr:col>
      <xdr:colOff>327660</xdr:colOff>
      <xdr:row>15</xdr:row>
      <xdr:rowOff>64770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84D48CB-2ECC-0EFC-C31E-34FEC3074B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472440</xdr:colOff>
      <xdr:row>12</xdr:row>
      <xdr:rowOff>171450</xdr:rowOff>
    </xdr:from>
    <xdr:to>
      <xdr:col>15</xdr:col>
      <xdr:colOff>167640</xdr:colOff>
      <xdr:row>27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A5EAA3-0B42-0C91-081D-D277DD8C96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556260</xdr:colOff>
      <xdr:row>1</xdr:row>
      <xdr:rowOff>11430</xdr:rowOff>
    </xdr:from>
    <xdr:to>
      <xdr:col>18</xdr:col>
      <xdr:colOff>365760</xdr:colOff>
      <xdr:row>12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AC9E978-0168-47A4-A753-4191E734B8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121920</xdr:colOff>
      <xdr:row>26</xdr:row>
      <xdr:rowOff>156210</xdr:rowOff>
    </xdr:from>
    <xdr:to>
      <xdr:col>16</xdr:col>
      <xdr:colOff>426720</xdr:colOff>
      <xdr:row>41</xdr:row>
      <xdr:rowOff>156210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C6C4E7B-81CC-F4DB-2E7B-A095E7379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502920</xdr:colOff>
      <xdr:row>69</xdr:row>
      <xdr:rowOff>19050</xdr:rowOff>
    </xdr:from>
    <xdr:to>
      <xdr:col>15</xdr:col>
      <xdr:colOff>45720</xdr:colOff>
      <xdr:row>84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FE5D0C8-1CCB-08DC-B1DC-D61424C965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495300</xdr:colOff>
      <xdr:row>87</xdr:row>
      <xdr:rowOff>3810</xdr:rowOff>
    </xdr:from>
    <xdr:to>
      <xdr:col>15</xdr:col>
      <xdr:colOff>38100</xdr:colOff>
      <xdr:row>102</xdr:row>
      <xdr:rowOff>3810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FCAA5C1-1C5F-F3C1-5559-F48A04DCED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22</xdr:row>
      <xdr:rowOff>3810</xdr:rowOff>
    </xdr:from>
    <xdr:to>
      <xdr:col>15</xdr:col>
      <xdr:colOff>228600</xdr:colOff>
      <xdr:row>36</xdr:row>
      <xdr:rowOff>171450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92D9310D-92F1-C99F-A24D-32C865BF20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533400</xdr:colOff>
      <xdr:row>34</xdr:row>
      <xdr:rowOff>3810</xdr:rowOff>
    </xdr:from>
    <xdr:to>
      <xdr:col>15</xdr:col>
      <xdr:colOff>228600</xdr:colOff>
      <xdr:row>48</xdr:row>
      <xdr:rowOff>171450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4FBB21C5-0B43-BCB0-6885-7F4884E66E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495300</xdr:colOff>
      <xdr:row>39</xdr:row>
      <xdr:rowOff>179070</xdr:rowOff>
    </xdr:from>
    <xdr:to>
      <xdr:col>15</xdr:col>
      <xdr:colOff>190500</xdr:colOff>
      <xdr:row>54</xdr:row>
      <xdr:rowOff>171450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C8BFC1C8-6487-E21C-6C24-7EF99A66BB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259080</xdr:colOff>
      <xdr:row>65</xdr:row>
      <xdr:rowOff>156210</xdr:rowOff>
    </xdr:from>
    <xdr:to>
      <xdr:col>17</xdr:col>
      <xdr:colOff>533400</xdr:colOff>
      <xdr:row>80</xdr:row>
      <xdr:rowOff>140970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E3244C6-6143-FFB1-0820-0D1C2A421C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495300</xdr:colOff>
      <xdr:row>94</xdr:row>
      <xdr:rowOff>3810</xdr:rowOff>
    </xdr:from>
    <xdr:to>
      <xdr:col>15</xdr:col>
      <xdr:colOff>190500</xdr:colOff>
      <xdr:row>108</xdr:row>
      <xdr:rowOff>171450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D650EDE-01D6-C345-8E59-1D32CE257D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85465-F16D-42E8-9015-5D3118764196}">
  <dimension ref="B2:F28"/>
  <sheetViews>
    <sheetView topLeftCell="A7" workbookViewId="0">
      <selection activeCell="F23" sqref="F23:F28"/>
    </sheetView>
  </sheetViews>
  <sheetFormatPr defaultRowHeight="14.4" x14ac:dyDescent="0.3"/>
  <sheetData>
    <row r="2" spans="2:4" x14ac:dyDescent="0.3">
      <c r="B2" t="s">
        <v>0</v>
      </c>
      <c r="C2" t="s">
        <v>2</v>
      </c>
      <c r="D2" t="s">
        <v>1</v>
      </c>
    </row>
    <row r="3" spans="2:4" x14ac:dyDescent="0.3">
      <c r="B3" s="1">
        <v>9</v>
      </c>
      <c r="C3" s="2">
        <v>21.101379310344825</v>
      </c>
      <c r="D3" s="2">
        <f>C3-2</f>
        <v>19.101379310344825</v>
      </c>
    </row>
    <row r="4" spans="2:4" x14ac:dyDescent="0.3">
      <c r="B4" s="1">
        <v>16</v>
      </c>
      <c r="C4" s="2">
        <v>20.126551724137929</v>
      </c>
      <c r="D4" s="2">
        <f>C4-2</f>
        <v>18.126551724137929</v>
      </c>
    </row>
    <row r="5" spans="2:4" x14ac:dyDescent="0.3">
      <c r="B5" s="1">
        <v>20</v>
      </c>
      <c r="C5" s="2">
        <v>16.616206896551727</v>
      </c>
      <c r="D5" s="2">
        <f>C5</f>
        <v>16.616206896551727</v>
      </c>
    </row>
    <row r="6" spans="2:4" x14ac:dyDescent="0.3">
      <c r="B6" s="1">
        <v>13</v>
      </c>
      <c r="C6" s="2">
        <v>16.607931034482757</v>
      </c>
      <c r="D6" s="2">
        <f>C6</f>
        <v>16.607931034482757</v>
      </c>
    </row>
    <row r="7" spans="2:4" x14ac:dyDescent="0.3">
      <c r="B7" s="1">
        <v>14</v>
      </c>
      <c r="C7" s="2">
        <v>15.26655172413793</v>
      </c>
      <c r="D7" s="2">
        <f>C7</f>
        <v>15.26655172413793</v>
      </c>
    </row>
    <row r="8" spans="2:4" x14ac:dyDescent="0.3">
      <c r="B8" s="1">
        <v>18</v>
      </c>
      <c r="C8" s="2">
        <v>12.945862068965518</v>
      </c>
      <c r="D8" s="2">
        <f>C8+4</f>
        <v>16.945862068965518</v>
      </c>
    </row>
    <row r="22" spans="2:6" x14ac:dyDescent="0.3">
      <c r="D22" t="s">
        <v>3</v>
      </c>
      <c r="E22" t="s">
        <v>4</v>
      </c>
    </row>
    <row r="23" spans="2:6" x14ac:dyDescent="0.3">
      <c r="B23" s="1">
        <v>17</v>
      </c>
      <c r="C23" s="2">
        <v>26.280333333333338</v>
      </c>
      <c r="E23">
        <v>4.5</v>
      </c>
      <c r="F23" s="2">
        <f>C23-E23+D23</f>
        <v>21.780333333333338</v>
      </c>
    </row>
    <row r="24" spans="2:6" x14ac:dyDescent="0.3">
      <c r="B24" s="1">
        <v>15</v>
      </c>
      <c r="C24" s="2">
        <v>22.669666666666672</v>
      </c>
      <c r="D24">
        <v>4.5</v>
      </c>
      <c r="E24">
        <v>3.2</v>
      </c>
      <c r="F24" s="2">
        <f t="shared" ref="F24:F28" si="0">C24-E24+D24</f>
        <v>23.969666666666672</v>
      </c>
    </row>
    <row r="25" spans="2:6" x14ac:dyDescent="0.3">
      <c r="B25" s="1">
        <v>12</v>
      </c>
      <c r="C25" s="2">
        <v>21.828666666666663</v>
      </c>
      <c r="F25" s="2">
        <f t="shared" si="0"/>
        <v>21.828666666666663</v>
      </c>
    </row>
    <row r="26" spans="2:6" x14ac:dyDescent="0.3">
      <c r="B26" s="1">
        <v>10</v>
      </c>
      <c r="C26" s="2">
        <v>20.475333333333332</v>
      </c>
      <c r="D26">
        <v>1.5</v>
      </c>
      <c r="E26">
        <v>2.5</v>
      </c>
      <c r="F26" s="2">
        <f t="shared" si="0"/>
        <v>19.475333333333332</v>
      </c>
    </row>
    <row r="27" spans="2:6" x14ac:dyDescent="0.3">
      <c r="B27" s="1">
        <v>8</v>
      </c>
      <c r="C27" s="2">
        <v>18.767666666666667</v>
      </c>
      <c r="F27" s="2">
        <f t="shared" si="0"/>
        <v>18.767666666666667</v>
      </c>
    </row>
    <row r="28" spans="2:6" x14ac:dyDescent="0.3">
      <c r="B28" s="1">
        <v>19</v>
      </c>
      <c r="C28" s="2">
        <v>17.472666666666669</v>
      </c>
      <c r="D28">
        <v>2.5</v>
      </c>
      <c r="F28" s="2">
        <f t="shared" si="0"/>
        <v>19.972666666666669</v>
      </c>
    </row>
  </sheetData>
  <sortState xmlns:xlrd2="http://schemas.microsoft.com/office/spreadsheetml/2017/richdata2" ref="B3:D8">
    <sortCondition descending="1" ref="C3:C8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E3A35-7373-4CFF-BF71-6B70CD57DE80}">
  <dimension ref="B1:S38"/>
  <sheetViews>
    <sheetView topLeftCell="A13" workbookViewId="0">
      <selection activeCell="I20" sqref="I20:I25"/>
    </sheetView>
  </sheetViews>
  <sheetFormatPr defaultRowHeight="14.4" x14ac:dyDescent="0.3"/>
  <sheetData>
    <row r="1" spans="2:8" x14ac:dyDescent="0.3">
      <c r="G1" s="5">
        <v>4.1666666666666664E-2</v>
      </c>
      <c r="H1" s="5">
        <v>6.25E-2</v>
      </c>
    </row>
    <row r="2" spans="2:8" x14ac:dyDescent="0.3">
      <c r="B2" s="1">
        <v>9</v>
      </c>
      <c r="C2" s="6">
        <v>0.32464080459770106</v>
      </c>
      <c r="D2" s="6">
        <v>4.7892720306513398E-2</v>
      </c>
      <c r="E2" s="6">
        <v>2.0617816091954018E-2</v>
      </c>
      <c r="F2" s="6">
        <f>SUM(C2:E2)</f>
        <v>0.39315134099616844</v>
      </c>
      <c r="G2" s="6">
        <f>F2-G1</f>
        <v>0.35148467432950176</v>
      </c>
    </row>
    <row r="3" spans="2:8" x14ac:dyDescent="0.3">
      <c r="B3" s="1">
        <v>16</v>
      </c>
      <c r="C3" s="6">
        <v>0.32176724137931034</v>
      </c>
      <c r="D3" s="6">
        <v>9.2816091954022975E-2</v>
      </c>
      <c r="E3" s="6">
        <v>2.538314176245212E-2</v>
      </c>
      <c r="F3" s="6">
        <f t="shared" ref="F3:F7" si="0">SUM(C3:E3)</f>
        <v>0.4399664750957854</v>
      </c>
      <c r="G3" s="6">
        <f>F3-G1</f>
        <v>0.39829980842911872</v>
      </c>
    </row>
    <row r="4" spans="2:8" x14ac:dyDescent="0.3">
      <c r="B4" s="1">
        <v>18</v>
      </c>
      <c r="C4" s="6">
        <v>0.27404214559386975</v>
      </c>
      <c r="D4" s="6">
        <v>6.7001915708812254E-2</v>
      </c>
      <c r="E4" s="6">
        <v>1.7456896551724138E-2</v>
      </c>
      <c r="F4" s="6">
        <f t="shared" si="0"/>
        <v>0.35850095785440617</v>
      </c>
      <c r="G4" s="6">
        <f>F4+H1</f>
        <v>0.42100095785440617</v>
      </c>
    </row>
    <row r="5" spans="2:8" x14ac:dyDescent="0.3">
      <c r="B5" s="1">
        <v>14</v>
      </c>
      <c r="C5" s="6">
        <v>0.26908524904214559</v>
      </c>
      <c r="D5" s="6">
        <v>7.3180076628352492E-2</v>
      </c>
      <c r="E5" s="6">
        <v>2.0138888888888887E-2</v>
      </c>
      <c r="F5" s="6">
        <f t="shared" si="0"/>
        <v>0.36240421455938693</v>
      </c>
      <c r="G5" s="6">
        <f t="shared" ref="G5:G7" si="1">F5</f>
        <v>0.36240421455938693</v>
      </c>
    </row>
    <row r="6" spans="2:8" x14ac:dyDescent="0.3">
      <c r="B6" s="1">
        <v>13</v>
      </c>
      <c r="C6" s="6">
        <v>0.26839080459770109</v>
      </c>
      <c r="D6" s="6">
        <v>5.8500957854406135E-2</v>
      </c>
      <c r="E6" s="6">
        <v>2.0426245210727972E-2</v>
      </c>
      <c r="F6" s="6">
        <f t="shared" si="0"/>
        <v>0.34731800766283516</v>
      </c>
      <c r="G6" s="6">
        <f t="shared" si="1"/>
        <v>0.34731800766283516</v>
      </c>
    </row>
    <row r="7" spans="2:8" x14ac:dyDescent="0.3">
      <c r="B7" s="1">
        <v>20</v>
      </c>
      <c r="C7" s="6">
        <v>0.26508620689655166</v>
      </c>
      <c r="D7" s="6">
        <v>6.3601532567049784E-2</v>
      </c>
      <c r="E7" s="6">
        <v>2.0761494252873568E-2</v>
      </c>
      <c r="F7" s="6">
        <f t="shared" si="0"/>
        <v>0.34944923371647496</v>
      </c>
      <c r="G7" s="6">
        <f t="shared" si="1"/>
        <v>0.34944923371647496</v>
      </c>
    </row>
    <row r="19" spans="2:16" x14ac:dyDescent="0.3">
      <c r="G19" t="s">
        <v>3</v>
      </c>
      <c r="H19" t="s">
        <v>4</v>
      </c>
      <c r="L19" s="5">
        <v>0.33263888888888887</v>
      </c>
      <c r="M19" s="5">
        <v>0.38541666666666669</v>
      </c>
    </row>
    <row r="20" spans="2:16" x14ac:dyDescent="0.3">
      <c r="B20" s="1">
        <v>17</v>
      </c>
      <c r="C20" s="6">
        <v>0.39282407407407405</v>
      </c>
      <c r="D20" s="6">
        <v>3.4861111111111114E-2</v>
      </c>
      <c r="E20" s="6">
        <v>2.9120370370370369E-2</v>
      </c>
      <c r="F20" s="6">
        <f>SUM(C20:E20)</f>
        <v>0.45680555555555552</v>
      </c>
      <c r="H20" s="5">
        <v>4.8611111111111112E-2</v>
      </c>
      <c r="I20" s="6">
        <f>F20-H20+G20</f>
        <v>0.40819444444444442</v>
      </c>
      <c r="L20" s="5">
        <f>M19-L19</f>
        <v>5.2777777777777812E-2</v>
      </c>
    </row>
    <row r="21" spans="2:16" x14ac:dyDescent="0.3">
      <c r="B21" s="1">
        <v>8</v>
      </c>
      <c r="C21" s="6">
        <v>0.33171296296296299</v>
      </c>
      <c r="D21" s="6">
        <v>5.7847222222222237E-2</v>
      </c>
      <c r="E21" s="6">
        <v>2.4236111111111118E-2</v>
      </c>
      <c r="F21" s="6">
        <f t="shared" ref="F21:F25" si="2">SUM(C21:E21)</f>
        <v>0.41379629629629633</v>
      </c>
      <c r="I21" s="6">
        <f t="shared" ref="I21:I25" si="3">F21-H21+G21</f>
        <v>0.41379629629629633</v>
      </c>
    </row>
    <row r="22" spans="2:16" x14ac:dyDescent="0.3">
      <c r="B22" s="1">
        <v>15</v>
      </c>
      <c r="C22" s="6">
        <v>0.31789351851851855</v>
      </c>
      <c r="D22" s="6">
        <v>5.1342592592592579E-2</v>
      </c>
      <c r="E22" s="6">
        <v>2.8865740740740737E-2</v>
      </c>
      <c r="F22" s="6">
        <f t="shared" si="2"/>
        <v>0.39810185185185182</v>
      </c>
      <c r="G22" s="5">
        <v>4.8611111111111112E-2</v>
      </c>
      <c r="H22" s="5">
        <v>5.2777777777777778E-2</v>
      </c>
      <c r="I22" s="6">
        <f t="shared" si="3"/>
        <v>0.39393518518518517</v>
      </c>
    </row>
    <row r="23" spans="2:16" x14ac:dyDescent="0.3">
      <c r="B23" s="1">
        <v>12</v>
      </c>
      <c r="C23" s="6">
        <v>0.30942129629629622</v>
      </c>
      <c r="D23" s="6">
        <v>8.4976851851851845E-2</v>
      </c>
      <c r="E23" s="6">
        <v>2.9699074074074079E-2</v>
      </c>
      <c r="F23" s="6">
        <f t="shared" si="2"/>
        <v>0.42409722222222213</v>
      </c>
      <c r="I23" s="6">
        <f t="shared" si="3"/>
        <v>0.42409722222222213</v>
      </c>
    </row>
    <row r="24" spans="2:16" x14ac:dyDescent="0.3">
      <c r="B24" s="1">
        <v>10</v>
      </c>
      <c r="C24" s="6">
        <v>0.30805555555555564</v>
      </c>
      <c r="D24" s="6">
        <v>4.0717592592592583E-2</v>
      </c>
      <c r="E24" s="6">
        <v>2.4722222222222232E-2</v>
      </c>
      <c r="F24" s="6">
        <f t="shared" si="2"/>
        <v>0.37349537037037045</v>
      </c>
      <c r="G24" s="5">
        <v>5.2777777777777778E-2</v>
      </c>
      <c r="H24" s="5">
        <v>3.6111111111111108E-2</v>
      </c>
      <c r="I24" s="6">
        <f t="shared" si="3"/>
        <v>0.39016203703703711</v>
      </c>
    </row>
    <row r="25" spans="2:16" x14ac:dyDescent="0.3">
      <c r="B25" s="1">
        <v>19</v>
      </c>
      <c r="C25" s="6">
        <v>0.29305555555555551</v>
      </c>
      <c r="D25" s="6">
        <v>5.0995370370370371E-2</v>
      </c>
      <c r="E25" s="6">
        <v>2.027777777777778E-2</v>
      </c>
      <c r="F25" s="6">
        <f t="shared" si="2"/>
        <v>0.36432870370370368</v>
      </c>
      <c r="G25" s="5">
        <v>3.6111111111111108E-2</v>
      </c>
      <c r="I25" s="6">
        <f t="shared" si="3"/>
        <v>0.40043981481481478</v>
      </c>
      <c r="M25" t="s">
        <v>8</v>
      </c>
      <c r="N25" t="s">
        <v>9</v>
      </c>
      <c r="O25" t="s">
        <v>1</v>
      </c>
    </row>
    <row r="26" spans="2:16" x14ac:dyDescent="0.3">
      <c r="K26" s="30" t="s">
        <v>22</v>
      </c>
      <c r="L26" t="s">
        <v>5</v>
      </c>
      <c r="N26">
        <v>183621</v>
      </c>
      <c r="P26">
        <v>183624</v>
      </c>
    </row>
    <row r="27" spans="2:16" x14ac:dyDescent="0.3">
      <c r="K27" s="30"/>
      <c r="L27" t="s">
        <v>6</v>
      </c>
      <c r="N27">
        <v>183623</v>
      </c>
      <c r="P27">
        <v>183627</v>
      </c>
    </row>
    <row r="28" spans="2:16" x14ac:dyDescent="0.3">
      <c r="K28" s="30"/>
      <c r="L28" t="s">
        <v>7</v>
      </c>
      <c r="M28" s="5">
        <v>5.2777777777777778E-2</v>
      </c>
      <c r="N28">
        <v>5</v>
      </c>
      <c r="O28">
        <f>N28*S37</f>
        <v>3253.333333333333</v>
      </c>
      <c r="P28">
        <f>P27-P26</f>
        <v>3</v>
      </c>
    </row>
    <row r="33" spans="13:19" x14ac:dyDescent="0.3">
      <c r="M33" s="5">
        <v>0.33055555555555555</v>
      </c>
      <c r="N33" s="5">
        <v>0.3659722222222222</v>
      </c>
      <c r="O33" s="5">
        <f>N33-M33</f>
        <v>3.5416666666666652E-2</v>
      </c>
    </row>
    <row r="34" spans="13:19" x14ac:dyDescent="0.3">
      <c r="M34" s="5">
        <v>0.37222222222222223</v>
      </c>
      <c r="N34" s="5">
        <v>0.38958333333333334</v>
      </c>
      <c r="O34" s="5">
        <f>N34-M34</f>
        <v>1.7361111111111105E-2</v>
      </c>
    </row>
    <row r="35" spans="13:19" x14ac:dyDescent="0.3">
      <c r="O35" s="5">
        <f>SUM(O33:O34)</f>
        <v>5.2777777777777757E-2</v>
      </c>
    </row>
    <row r="36" spans="13:19" x14ac:dyDescent="0.3">
      <c r="Q36">
        <v>9760</v>
      </c>
    </row>
    <row r="37" spans="13:19" x14ac:dyDescent="0.3">
      <c r="M37" s="5">
        <v>0.31944444444444442</v>
      </c>
      <c r="N37" s="5">
        <v>0.48194444444444445</v>
      </c>
      <c r="O37" s="5">
        <f>N37-M37</f>
        <v>0.16250000000000003</v>
      </c>
      <c r="S37">
        <f>Q36/O38</f>
        <v>650.66666666666663</v>
      </c>
    </row>
    <row r="38" spans="13:19" x14ac:dyDescent="0.3">
      <c r="M38">
        <v>183619</v>
      </c>
      <c r="N38">
        <v>183634</v>
      </c>
      <c r="O38">
        <f>N38-M38</f>
        <v>15</v>
      </c>
    </row>
  </sheetData>
  <mergeCells count="1">
    <mergeCell ref="K26:K28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2B3BF-772A-40AC-9412-9699D0158564}">
  <dimension ref="B3:T98"/>
  <sheetViews>
    <sheetView topLeftCell="A19" workbookViewId="0">
      <selection activeCell="H41" sqref="H41"/>
    </sheetView>
  </sheetViews>
  <sheetFormatPr defaultRowHeight="14.4" x14ac:dyDescent="0.3"/>
  <cols>
    <col min="6" max="6" width="9.44140625" bestFit="1" customWidth="1"/>
    <col min="11" max="11" width="11.109375" customWidth="1"/>
  </cols>
  <sheetData>
    <row r="3" spans="2:20" x14ac:dyDescent="0.3">
      <c r="B3" s="32" t="s">
        <v>13</v>
      </c>
      <c r="C3" s="32"/>
      <c r="D3" s="32"/>
      <c r="E3" s="32"/>
      <c r="F3" s="32"/>
    </row>
    <row r="4" spans="2:20" x14ac:dyDescent="0.3">
      <c r="D4" t="s">
        <v>3</v>
      </c>
      <c r="E4" t="s">
        <v>4</v>
      </c>
    </row>
    <row r="5" spans="2:20" x14ac:dyDescent="0.3">
      <c r="B5" s="1">
        <v>9</v>
      </c>
      <c r="C5" s="6">
        <v>0.39315134099616844</v>
      </c>
      <c r="E5" s="5">
        <v>4.1666666666666664E-2</v>
      </c>
      <c r="F5" s="6">
        <f>C5+D5-E5</f>
        <v>0.35148467432950176</v>
      </c>
    </row>
    <row r="6" spans="2:20" x14ac:dyDescent="0.3">
      <c r="B6" s="1">
        <v>16</v>
      </c>
      <c r="C6" s="6">
        <v>0.4399664750957854</v>
      </c>
      <c r="E6" s="5">
        <v>4.1666666666666664E-2</v>
      </c>
      <c r="F6" s="6">
        <f t="shared" ref="F6:F10" si="0">C6+D6-E6</f>
        <v>0.39829980842911872</v>
      </c>
    </row>
    <row r="7" spans="2:20" x14ac:dyDescent="0.3">
      <c r="B7" s="1">
        <v>18</v>
      </c>
      <c r="C7" s="6">
        <v>0.35850095785440617</v>
      </c>
      <c r="D7" s="5">
        <v>8.3333333333333329E-2</v>
      </c>
      <c r="E7" s="5"/>
      <c r="F7" s="6">
        <f t="shared" si="0"/>
        <v>0.44183429118773948</v>
      </c>
    </row>
    <row r="8" spans="2:20" x14ac:dyDescent="0.3">
      <c r="B8" s="1">
        <v>14</v>
      </c>
      <c r="C8" s="6">
        <v>0.36240421455938693</v>
      </c>
      <c r="D8" s="3">
        <v>4.791666666666667E-2</v>
      </c>
      <c r="F8" s="6">
        <f t="shared" si="0"/>
        <v>0.41032088122605359</v>
      </c>
    </row>
    <row r="9" spans="2:20" x14ac:dyDescent="0.3">
      <c r="B9" s="1">
        <v>13</v>
      </c>
      <c r="C9" s="6">
        <v>0.34731800766283516</v>
      </c>
      <c r="D9" s="5">
        <v>8.0555555555555561E-2</v>
      </c>
      <c r="E9" s="5">
        <v>7.2916666666666671E-2</v>
      </c>
      <c r="F9" s="6">
        <f t="shared" si="0"/>
        <v>0.35495689655172402</v>
      </c>
    </row>
    <row r="10" spans="2:20" x14ac:dyDescent="0.3">
      <c r="B10" s="1">
        <v>20</v>
      </c>
      <c r="C10" s="6">
        <v>0.34944923371647496</v>
      </c>
      <c r="D10" s="5">
        <v>7.2916666666666671E-2</v>
      </c>
      <c r="E10" s="5">
        <v>4.791666666666667E-2</v>
      </c>
      <c r="F10" s="6">
        <f t="shared" si="0"/>
        <v>0.37444923371647498</v>
      </c>
      <c r="G10" s="6">
        <f>AVERAGE(F5:F10)</f>
        <v>0.3885576309067687</v>
      </c>
    </row>
    <row r="12" spans="2:20" x14ac:dyDescent="0.3">
      <c r="B12" t="s">
        <v>0</v>
      </c>
      <c r="C12" t="s">
        <v>2</v>
      </c>
      <c r="D12" t="s">
        <v>3</v>
      </c>
      <c r="E12" t="s">
        <v>4</v>
      </c>
    </row>
    <row r="13" spans="2:20" x14ac:dyDescent="0.3">
      <c r="B13" s="1">
        <v>9</v>
      </c>
      <c r="C13" s="2">
        <v>21.101379310344825</v>
      </c>
      <c r="E13">
        <v>2</v>
      </c>
      <c r="F13" s="7">
        <f>C13+D13-E13</f>
        <v>19.101379310344825</v>
      </c>
    </row>
    <row r="14" spans="2:20" x14ac:dyDescent="0.3">
      <c r="B14" s="1">
        <v>16</v>
      </c>
      <c r="C14" s="2">
        <v>20.126551724137929</v>
      </c>
      <c r="E14">
        <v>2</v>
      </c>
      <c r="F14" s="7">
        <f t="shared" ref="F14:F18" si="1">C14+D14-E14</f>
        <v>18.126551724137929</v>
      </c>
      <c r="R14" s="5">
        <v>0.44166666666666665</v>
      </c>
      <c r="S14" s="5">
        <v>0.45763888888888887</v>
      </c>
      <c r="T14" s="5">
        <f>S14-R14</f>
        <v>1.5972222222222221E-2</v>
      </c>
    </row>
    <row r="15" spans="2:20" x14ac:dyDescent="0.3">
      <c r="B15" s="1">
        <v>20</v>
      </c>
      <c r="C15" s="2">
        <v>16.616206896551727</v>
      </c>
      <c r="D15">
        <v>3.5</v>
      </c>
      <c r="E15">
        <v>3.2</v>
      </c>
      <c r="F15" s="7">
        <f t="shared" si="1"/>
        <v>16.916206896551728</v>
      </c>
      <c r="R15" s="5">
        <v>0.52777777777777779</v>
      </c>
      <c r="S15" s="5">
        <v>0.60069444444444442</v>
      </c>
      <c r="T15" s="5">
        <f>S15-R15</f>
        <v>7.291666666666663E-2</v>
      </c>
    </row>
    <row r="16" spans="2:20" x14ac:dyDescent="0.3">
      <c r="B16" s="1">
        <v>13</v>
      </c>
      <c r="C16" s="2">
        <v>16.607931034482757</v>
      </c>
      <c r="D16">
        <v>6</v>
      </c>
      <c r="E16">
        <v>3.5</v>
      </c>
      <c r="F16" s="7">
        <f t="shared" si="1"/>
        <v>19.107931034482757</v>
      </c>
    </row>
    <row r="17" spans="2:15" x14ac:dyDescent="0.3">
      <c r="B17" s="1">
        <v>14</v>
      </c>
      <c r="C17" s="2">
        <v>15.26655172413793</v>
      </c>
      <c r="D17">
        <v>3.2</v>
      </c>
      <c r="F17" s="7">
        <f t="shared" si="1"/>
        <v>18.466551724137929</v>
      </c>
    </row>
    <row r="18" spans="2:15" x14ac:dyDescent="0.3">
      <c r="B18" s="1">
        <v>18</v>
      </c>
      <c r="C18" s="2">
        <v>12.945862068965518</v>
      </c>
      <c r="D18">
        <v>4</v>
      </c>
      <c r="F18" s="7">
        <f t="shared" si="1"/>
        <v>16.945862068965518</v>
      </c>
      <c r="G18" s="7">
        <f>AVERAGE(F13:F18)</f>
        <v>18.110747126436781</v>
      </c>
    </row>
    <row r="21" spans="2:15" x14ac:dyDescent="0.3">
      <c r="D21" t="s">
        <v>3</v>
      </c>
      <c r="E21" t="s">
        <v>4</v>
      </c>
      <c r="M21" t="s">
        <v>8</v>
      </c>
      <c r="N21" t="s">
        <v>9</v>
      </c>
      <c r="O21" t="s">
        <v>1</v>
      </c>
    </row>
    <row r="22" spans="2:15" x14ac:dyDescent="0.3">
      <c r="B22" s="1">
        <v>17</v>
      </c>
      <c r="C22" s="6">
        <v>0.45680555555555552</v>
      </c>
      <c r="E22" s="5">
        <v>4.8611111111111112E-2</v>
      </c>
      <c r="F22" s="6">
        <f>C22+D22-E22</f>
        <v>0.40819444444444442</v>
      </c>
      <c r="K22" s="30" t="s">
        <v>10</v>
      </c>
      <c r="L22" t="s">
        <v>5</v>
      </c>
      <c r="M22" s="5">
        <v>0.45277777777777778</v>
      </c>
      <c r="N22">
        <v>106818</v>
      </c>
    </row>
    <row r="23" spans="2:15" x14ac:dyDescent="0.3">
      <c r="B23" s="1">
        <v>8</v>
      </c>
      <c r="C23" s="6">
        <v>0.41379629629629633</v>
      </c>
      <c r="D23" s="5">
        <v>6.8750000000000006E-2</v>
      </c>
      <c r="E23" s="5">
        <v>3.4027777777777775E-2</v>
      </c>
      <c r="F23" s="6">
        <f t="shared" ref="F23:F27" si="2">C23+D23-E23</f>
        <v>0.44851851851851854</v>
      </c>
      <c r="K23" s="30"/>
      <c r="L23" t="s">
        <v>6</v>
      </c>
      <c r="M23" s="5">
        <v>0.48055555555555557</v>
      </c>
      <c r="N23">
        <v>106822</v>
      </c>
    </row>
    <row r="24" spans="2:15" x14ac:dyDescent="0.3">
      <c r="B24" s="1">
        <v>15</v>
      </c>
      <c r="C24" s="6">
        <v>0.39810185185185182</v>
      </c>
      <c r="D24" s="5">
        <v>4.8611111111111112E-2</v>
      </c>
      <c r="E24" s="5">
        <v>6.3888888888888884E-2</v>
      </c>
      <c r="F24" s="6">
        <f t="shared" si="2"/>
        <v>0.38282407407407404</v>
      </c>
      <c r="K24" s="30"/>
      <c r="L24" t="s">
        <v>7</v>
      </c>
      <c r="M24" s="5">
        <f>M23-M22</f>
        <v>2.777777777777779E-2</v>
      </c>
      <c r="N24">
        <f>N23-N22</f>
        <v>4</v>
      </c>
      <c r="O24">
        <v>2.2000000000000002</v>
      </c>
    </row>
    <row r="25" spans="2:15" x14ac:dyDescent="0.3">
      <c r="B25" s="1">
        <v>12</v>
      </c>
      <c r="C25" s="6">
        <v>0.42409722222222213</v>
      </c>
      <c r="D25" s="5">
        <v>3.4027777777777775E-2</v>
      </c>
      <c r="E25" s="5">
        <v>8.0555555555555561E-2</v>
      </c>
      <c r="F25" s="6">
        <f t="shared" si="2"/>
        <v>0.37756944444444435</v>
      </c>
    </row>
    <row r="26" spans="2:15" x14ac:dyDescent="0.3">
      <c r="B26" s="1">
        <v>10</v>
      </c>
      <c r="C26" s="6">
        <v>0.37349537037037045</v>
      </c>
      <c r="D26" s="5">
        <v>6.3888888888888884E-2</v>
      </c>
      <c r="E26" s="5">
        <f>M52+M56</f>
        <v>0.10000000000000003</v>
      </c>
      <c r="F26" s="6">
        <f t="shared" si="2"/>
        <v>0.3373842592592593</v>
      </c>
      <c r="K26" s="30" t="s">
        <v>11</v>
      </c>
      <c r="L26" t="s">
        <v>5</v>
      </c>
      <c r="M26" s="5">
        <v>0.52777777777777779</v>
      </c>
      <c r="N26" s="7">
        <v>7692</v>
      </c>
    </row>
    <row r="27" spans="2:15" x14ac:dyDescent="0.3">
      <c r="B27" s="1">
        <v>19</v>
      </c>
      <c r="C27" s="6">
        <v>0.36432870370370368</v>
      </c>
      <c r="D27" s="5">
        <f>M56</f>
        <v>3.6111111111111149E-2</v>
      </c>
      <c r="F27" s="6">
        <f t="shared" si="2"/>
        <v>0.40043981481481483</v>
      </c>
      <c r="G27" s="6">
        <f>AVERAGE(F22:F27)</f>
        <v>0.39248842592592587</v>
      </c>
      <c r="K27" s="30"/>
      <c r="L27" t="s">
        <v>6</v>
      </c>
      <c r="M27" s="5">
        <v>0.60069444444444442</v>
      </c>
      <c r="N27">
        <v>7704</v>
      </c>
    </row>
    <row r="28" spans="2:15" x14ac:dyDescent="0.3">
      <c r="K28" s="30"/>
      <c r="L28" t="s">
        <v>7</v>
      </c>
      <c r="M28" s="5">
        <f>M27-M26</f>
        <v>7.291666666666663E-2</v>
      </c>
      <c r="N28" s="7">
        <f>N27-N26</f>
        <v>12</v>
      </c>
      <c r="O28">
        <v>3.5</v>
      </c>
    </row>
    <row r="29" spans="2:15" x14ac:dyDescent="0.3">
      <c r="C29" t="s">
        <v>2</v>
      </c>
      <c r="D29" t="s">
        <v>3</v>
      </c>
      <c r="E29" t="s">
        <v>4</v>
      </c>
    </row>
    <row r="30" spans="2:15" x14ac:dyDescent="0.3">
      <c r="B30" s="1">
        <v>17</v>
      </c>
      <c r="C30" s="2">
        <v>26.280333333333338</v>
      </c>
      <c r="E30">
        <v>4.5</v>
      </c>
      <c r="F30" s="7">
        <f>C30+D30-E30</f>
        <v>21.780333333333338</v>
      </c>
      <c r="K30" s="31" t="s">
        <v>12</v>
      </c>
      <c r="L30" t="s">
        <v>5</v>
      </c>
      <c r="M30" s="5">
        <v>0.32569444444444445</v>
      </c>
      <c r="N30">
        <v>106801</v>
      </c>
    </row>
    <row r="31" spans="2:15" x14ac:dyDescent="0.3">
      <c r="B31" s="1">
        <v>15</v>
      </c>
      <c r="C31" s="2">
        <v>22.669666666666672</v>
      </c>
      <c r="D31">
        <v>4.5</v>
      </c>
      <c r="E31">
        <v>4.8</v>
      </c>
      <c r="F31" s="7">
        <f t="shared" ref="F31:F35" si="3">C31+D31-E31</f>
        <v>22.369666666666671</v>
      </c>
      <c r="K31" s="31"/>
      <c r="L31" t="s">
        <v>6</v>
      </c>
      <c r="M31" s="5">
        <v>0.34583333333333333</v>
      </c>
      <c r="N31">
        <v>106805</v>
      </c>
    </row>
    <row r="32" spans="2:15" x14ac:dyDescent="0.3">
      <c r="B32" s="1">
        <v>12</v>
      </c>
      <c r="C32" s="2">
        <v>21.828666666666663</v>
      </c>
      <c r="D32">
        <v>3</v>
      </c>
      <c r="E32">
        <v>6</v>
      </c>
      <c r="F32" s="7">
        <f t="shared" si="3"/>
        <v>18.828666666666663</v>
      </c>
      <c r="K32" s="31"/>
      <c r="L32" t="s">
        <v>7</v>
      </c>
      <c r="M32" s="5">
        <f>M31-M30</f>
        <v>2.0138888888888873E-2</v>
      </c>
      <c r="N32" s="7">
        <f>N31-N30</f>
        <v>4</v>
      </c>
      <c r="O32">
        <v>1</v>
      </c>
    </row>
    <row r="33" spans="2:15" x14ac:dyDescent="0.3">
      <c r="B33" s="1">
        <v>10</v>
      </c>
      <c r="C33" s="2">
        <v>20.475333333333332</v>
      </c>
      <c r="D33">
        <v>4.8</v>
      </c>
      <c r="E33">
        <f>O44+O56</f>
        <v>6</v>
      </c>
      <c r="F33" s="7">
        <f t="shared" si="3"/>
        <v>19.275333333333332</v>
      </c>
    </row>
    <row r="34" spans="2:15" x14ac:dyDescent="0.3">
      <c r="B34" s="1">
        <v>8</v>
      </c>
      <c r="C34" s="2">
        <v>18.767666666666667</v>
      </c>
      <c r="D34">
        <v>3.5</v>
      </c>
      <c r="E34">
        <v>3</v>
      </c>
      <c r="F34" s="7">
        <f t="shared" si="3"/>
        <v>19.267666666666667</v>
      </c>
      <c r="K34" s="30" t="s">
        <v>14</v>
      </c>
      <c r="L34" t="s">
        <v>5</v>
      </c>
      <c r="M34" s="5">
        <v>0.60555555555555551</v>
      </c>
      <c r="N34">
        <v>95852</v>
      </c>
    </row>
    <row r="35" spans="2:15" x14ac:dyDescent="0.3">
      <c r="B35" s="1">
        <v>19</v>
      </c>
      <c r="C35" s="2">
        <v>17.472666666666669</v>
      </c>
      <c r="D35">
        <f>O56</f>
        <v>2.5</v>
      </c>
      <c r="F35" s="7">
        <f t="shared" si="3"/>
        <v>19.972666666666669</v>
      </c>
      <c r="K35" s="30"/>
      <c r="L35" t="s">
        <v>6</v>
      </c>
      <c r="M35" s="5">
        <v>0.68611111111111112</v>
      </c>
      <c r="N35">
        <v>95863</v>
      </c>
    </row>
    <row r="36" spans="2:15" x14ac:dyDescent="0.3">
      <c r="K36" s="30"/>
      <c r="L36" t="s">
        <v>7</v>
      </c>
      <c r="M36" s="5">
        <f>M35-M34</f>
        <v>8.0555555555555602E-2</v>
      </c>
      <c r="N36" s="7">
        <f>N35-N34</f>
        <v>11</v>
      </c>
      <c r="O36">
        <v>6</v>
      </c>
    </row>
    <row r="38" spans="2:15" x14ac:dyDescent="0.3">
      <c r="K38" s="30" t="s">
        <v>15</v>
      </c>
      <c r="L38" t="s">
        <v>5</v>
      </c>
      <c r="M38" s="5">
        <v>0.32847222222222222</v>
      </c>
      <c r="N38">
        <v>105919</v>
      </c>
    </row>
    <row r="39" spans="2:15" x14ac:dyDescent="0.3">
      <c r="K39" s="30"/>
      <c r="L39" t="s">
        <v>6</v>
      </c>
      <c r="M39" s="5">
        <v>0.36249999999999999</v>
      </c>
      <c r="N39">
        <v>105922</v>
      </c>
    </row>
    <row r="40" spans="2:15" x14ac:dyDescent="0.3">
      <c r="K40" s="30"/>
      <c r="L40" t="s">
        <v>7</v>
      </c>
      <c r="M40" s="5">
        <f>M39-M38</f>
        <v>3.4027777777777768E-2</v>
      </c>
      <c r="N40" s="7">
        <f>N39-N38</f>
        <v>3</v>
      </c>
      <c r="O40">
        <v>3</v>
      </c>
    </row>
    <row r="41" spans="2:15" x14ac:dyDescent="0.3">
      <c r="B41" t="s">
        <v>0</v>
      </c>
    </row>
    <row r="42" spans="2:15" x14ac:dyDescent="0.3">
      <c r="K42" s="30" t="s">
        <v>16</v>
      </c>
      <c r="L42" t="s">
        <v>5</v>
      </c>
      <c r="M42" s="5">
        <v>0.31666666666666665</v>
      </c>
      <c r="N42">
        <v>173278</v>
      </c>
    </row>
    <row r="43" spans="2:15" x14ac:dyDescent="0.3">
      <c r="K43" s="30"/>
      <c r="L43" t="s">
        <v>6</v>
      </c>
      <c r="M43" s="5">
        <v>0.38541666666666669</v>
      </c>
      <c r="N43">
        <v>173282</v>
      </c>
    </row>
    <row r="44" spans="2:15" x14ac:dyDescent="0.3">
      <c r="K44" s="30"/>
      <c r="L44" t="s">
        <v>7</v>
      </c>
      <c r="M44" s="5">
        <f>M43-M42</f>
        <v>6.8750000000000033E-2</v>
      </c>
      <c r="N44" s="7">
        <f>N43-N42</f>
        <v>4</v>
      </c>
      <c r="O44">
        <v>3.5</v>
      </c>
    </row>
    <row r="46" spans="2:15" x14ac:dyDescent="0.3">
      <c r="K46" s="30" t="s">
        <v>17</v>
      </c>
      <c r="L46" t="s">
        <v>5</v>
      </c>
      <c r="M46" s="5">
        <v>0.34375</v>
      </c>
      <c r="N46">
        <v>59974</v>
      </c>
    </row>
    <row r="47" spans="2:15" x14ac:dyDescent="0.3">
      <c r="K47" s="30"/>
      <c r="L47" t="s">
        <v>6</v>
      </c>
      <c r="M47" s="5">
        <v>0.3923611111111111</v>
      </c>
      <c r="N47">
        <v>59980</v>
      </c>
    </row>
    <row r="48" spans="2:15" x14ac:dyDescent="0.3">
      <c r="K48" s="30"/>
      <c r="L48" t="s">
        <v>7</v>
      </c>
      <c r="M48" s="5">
        <f>M47-M46</f>
        <v>4.8611111111111105E-2</v>
      </c>
      <c r="N48" s="7">
        <f>N47-N46</f>
        <v>6</v>
      </c>
      <c r="O48">
        <v>4.5</v>
      </c>
    </row>
    <row r="49" spans="2:15" x14ac:dyDescent="0.3">
      <c r="K49" s="4"/>
      <c r="M49" s="5"/>
      <c r="N49" s="7"/>
    </row>
    <row r="50" spans="2:15" x14ac:dyDescent="0.3">
      <c r="K50" s="30" t="s">
        <v>18</v>
      </c>
      <c r="L50" t="s">
        <v>5</v>
      </c>
      <c r="M50" s="5">
        <v>0.3298611111111111</v>
      </c>
      <c r="N50">
        <v>183620</v>
      </c>
    </row>
    <row r="51" spans="2:15" x14ac:dyDescent="0.3">
      <c r="K51" s="30"/>
      <c r="L51" t="s">
        <v>6</v>
      </c>
      <c r="M51" s="5">
        <v>0.39374999999999999</v>
      </c>
      <c r="N51">
        <v>183628</v>
      </c>
    </row>
    <row r="52" spans="2:15" x14ac:dyDescent="0.3">
      <c r="K52" s="30"/>
      <c r="L52" t="s">
        <v>7</v>
      </c>
      <c r="M52" s="5">
        <f>M51-M50</f>
        <v>6.3888888888888884E-2</v>
      </c>
      <c r="N52">
        <f>N51-N50</f>
        <v>8</v>
      </c>
      <c r="O52">
        <v>4.8</v>
      </c>
    </row>
    <row r="54" spans="2:15" x14ac:dyDescent="0.3">
      <c r="K54" s="30" t="s">
        <v>19</v>
      </c>
      <c r="L54" t="s">
        <v>5</v>
      </c>
      <c r="M54" s="5">
        <v>0.39444444444444443</v>
      </c>
      <c r="N54">
        <v>173290</v>
      </c>
    </row>
    <row r="55" spans="2:15" x14ac:dyDescent="0.3">
      <c r="B55" s="1">
        <v>17</v>
      </c>
      <c r="C55" s="7">
        <v>21.780333333333338</v>
      </c>
      <c r="K55" s="30"/>
      <c r="L55" t="s">
        <v>6</v>
      </c>
      <c r="M55" s="5">
        <v>0.43055555555555558</v>
      </c>
      <c r="N55">
        <v>173295</v>
      </c>
    </row>
    <row r="56" spans="2:15" x14ac:dyDescent="0.3">
      <c r="B56" s="1">
        <v>15</v>
      </c>
      <c r="C56" s="7">
        <v>22.369666666666671</v>
      </c>
      <c r="K56" s="30"/>
      <c r="L56" t="s">
        <v>7</v>
      </c>
      <c r="M56" s="5">
        <f>M55-M54</f>
        <v>3.6111111111111149E-2</v>
      </c>
      <c r="N56">
        <f>N55-N54</f>
        <v>5</v>
      </c>
      <c r="O56">
        <v>2.5</v>
      </c>
    </row>
    <row r="57" spans="2:15" x14ac:dyDescent="0.3">
      <c r="B57" s="1">
        <v>12</v>
      </c>
      <c r="C57" s="7">
        <v>18.828666666666663</v>
      </c>
    </row>
    <row r="58" spans="2:15" x14ac:dyDescent="0.3">
      <c r="B58" s="1">
        <v>9</v>
      </c>
      <c r="C58" s="7">
        <v>19.101379310344825</v>
      </c>
      <c r="K58" s="30" t="s">
        <v>20</v>
      </c>
      <c r="L58" t="s">
        <v>5</v>
      </c>
    </row>
    <row r="59" spans="2:15" x14ac:dyDescent="0.3">
      <c r="B59" s="1">
        <v>10</v>
      </c>
      <c r="C59" s="7">
        <v>19.275333333333332</v>
      </c>
      <c r="K59" s="30"/>
      <c r="L59" t="s">
        <v>6</v>
      </c>
    </row>
    <row r="60" spans="2:15" x14ac:dyDescent="0.3">
      <c r="B60" s="1">
        <v>16</v>
      </c>
      <c r="C60" s="7">
        <v>18.126551724137929</v>
      </c>
      <c r="K60" s="30"/>
      <c r="L60" t="s">
        <v>7</v>
      </c>
      <c r="M60" s="5">
        <v>4.1666666666666664E-2</v>
      </c>
      <c r="O60">
        <v>2</v>
      </c>
    </row>
    <row r="61" spans="2:15" x14ac:dyDescent="0.3">
      <c r="B61" s="1">
        <v>8</v>
      </c>
      <c r="C61" s="7">
        <v>19.267666666666667</v>
      </c>
    </row>
    <row r="62" spans="2:15" x14ac:dyDescent="0.3">
      <c r="B62" s="1">
        <v>19</v>
      </c>
      <c r="C62" s="7">
        <v>19.972666666666669</v>
      </c>
      <c r="K62" s="30" t="s">
        <v>21</v>
      </c>
      <c r="L62" t="s">
        <v>5</v>
      </c>
    </row>
    <row r="63" spans="2:15" x14ac:dyDescent="0.3">
      <c r="B63" s="1">
        <v>20</v>
      </c>
      <c r="C63" s="7">
        <v>16.916206896551728</v>
      </c>
      <c r="K63" s="30"/>
      <c r="L63" t="s">
        <v>6</v>
      </c>
    </row>
    <row r="64" spans="2:15" x14ac:dyDescent="0.3">
      <c r="B64" s="1">
        <v>13</v>
      </c>
      <c r="C64" s="7">
        <v>19.107931034482757</v>
      </c>
      <c r="K64" s="30"/>
      <c r="L64" t="s">
        <v>7</v>
      </c>
      <c r="M64" s="5">
        <v>4.1666666666666664E-2</v>
      </c>
      <c r="O64">
        <v>2</v>
      </c>
    </row>
    <row r="65" spans="2:3" x14ac:dyDescent="0.3">
      <c r="B65" s="1">
        <v>14</v>
      </c>
      <c r="C65" s="7">
        <v>18.466551724137929</v>
      </c>
    </row>
    <row r="66" spans="2:3" x14ac:dyDescent="0.3">
      <c r="B66" s="1">
        <v>18</v>
      </c>
      <c r="C66" s="7">
        <v>16.945862068965518</v>
      </c>
    </row>
    <row r="87" spans="2:3" x14ac:dyDescent="0.3">
      <c r="B87" s="1">
        <v>17</v>
      </c>
      <c r="C87" s="6">
        <v>0.40819444444444442</v>
      </c>
    </row>
    <row r="88" spans="2:3" x14ac:dyDescent="0.3">
      <c r="B88" s="1">
        <v>8</v>
      </c>
      <c r="C88" s="6">
        <v>0.44851851851851854</v>
      </c>
    </row>
    <row r="89" spans="2:3" x14ac:dyDescent="0.3">
      <c r="B89" s="1">
        <v>9</v>
      </c>
      <c r="C89" s="6">
        <v>0.35148467432950176</v>
      </c>
    </row>
    <row r="90" spans="2:3" x14ac:dyDescent="0.3">
      <c r="B90" s="1">
        <v>16</v>
      </c>
      <c r="C90" s="6">
        <v>0.39829980842911872</v>
      </c>
    </row>
    <row r="91" spans="2:3" x14ac:dyDescent="0.3">
      <c r="B91" s="1">
        <v>15</v>
      </c>
      <c r="C91" s="6">
        <v>0.38282407407407404</v>
      </c>
    </row>
    <row r="92" spans="2:3" x14ac:dyDescent="0.3">
      <c r="B92" s="1">
        <v>12</v>
      </c>
      <c r="C92" s="6">
        <v>0.37756944444444435</v>
      </c>
    </row>
    <row r="93" spans="2:3" x14ac:dyDescent="0.3">
      <c r="B93" s="1">
        <v>10</v>
      </c>
      <c r="C93" s="6">
        <v>0.3373842592592593</v>
      </c>
    </row>
    <row r="94" spans="2:3" x14ac:dyDescent="0.3">
      <c r="B94" s="1">
        <v>19</v>
      </c>
      <c r="C94" s="6">
        <v>0.40043981481481483</v>
      </c>
    </row>
    <row r="95" spans="2:3" x14ac:dyDescent="0.3">
      <c r="B95" s="1">
        <v>18</v>
      </c>
      <c r="C95" s="6">
        <v>0.44183429118773948</v>
      </c>
    </row>
    <row r="96" spans="2:3" x14ac:dyDescent="0.3">
      <c r="B96" s="1">
        <v>14</v>
      </c>
      <c r="C96" s="6">
        <v>0.41032088122605359</v>
      </c>
    </row>
    <row r="97" spans="2:3" x14ac:dyDescent="0.3">
      <c r="B97" s="1">
        <v>13</v>
      </c>
      <c r="C97" s="6">
        <v>0.35495689655172402</v>
      </c>
    </row>
    <row r="98" spans="2:3" x14ac:dyDescent="0.3">
      <c r="B98" s="1">
        <v>20</v>
      </c>
      <c r="C98" s="6">
        <v>0.37444923371647498</v>
      </c>
    </row>
  </sheetData>
  <mergeCells count="12">
    <mergeCell ref="K62:K64"/>
    <mergeCell ref="K42:K44"/>
    <mergeCell ref="K46:K48"/>
    <mergeCell ref="K50:K52"/>
    <mergeCell ref="K54:K56"/>
    <mergeCell ref="K58:K60"/>
    <mergeCell ref="K38:K40"/>
    <mergeCell ref="K22:K24"/>
    <mergeCell ref="K26:K28"/>
    <mergeCell ref="K30:K32"/>
    <mergeCell ref="B3:F3"/>
    <mergeCell ref="K34:K36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1541A-2AAE-4A37-B401-B39A7422D1F5}">
  <dimension ref="B2:W75"/>
  <sheetViews>
    <sheetView topLeftCell="F16" workbookViewId="0">
      <selection activeCell="V14" sqref="V14"/>
    </sheetView>
  </sheetViews>
  <sheetFormatPr defaultRowHeight="14.4" x14ac:dyDescent="0.3"/>
  <cols>
    <col min="5" max="5" width="9.109375" bestFit="1" customWidth="1"/>
    <col min="12" max="12" width="8.88671875" customWidth="1"/>
    <col min="13" max="13" width="14.5546875" customWidth="1"/>
    <col min="15" max="15" width="13.21875" bestFit="1" customWidth="1"/>
  </cols>
  <sheetData>
    <row r="2" spans="2:17" ht="15" thickBot="1" x14ac:dyDescent="0.35"/>
    <row r="3" spans="2:17" ht="15" thickBot="1" x14ac:dyDescent="0.35">
      <c r="B3" s="25"/>
      <c r="C3" s="36" t="s">
        <v>27</v>
      </c>
      <c r="D3" s="36"/>
      <c r="E3" s="36"/>
      <c r="F3" s="36"/>
      <c r="G3" s="13"/>
      <c r="H3" s="13"/>
      <c r="I3" s="20"/>
      <c r="M3" s="15"/>
      <c r="N3" s="10"/>
      <c r="O3" s="10" t="s">
        <v>30</v>
      </c>
      <c r="P3" s="10" t="s">
        <v>9</v>
      </c>
      <c r="Q3" s="19" t="s">
        <v>1</v>
      </c>
    </row>
    <row r="4" spans="2:17" x14ac:dyDescent="0.3">
      <c r="B4" s="16"/>
      <c r="C4" t="s">
        <v>23</v>
      </c>
      <c r="D4" t="s">
        <v>24</v>
      </c>
      <c r="E4" t="s">
        <v>25</v>
      </c>
      <c r="F4" t="s">
        <v>26</v>
      </c>
      <c r="G4" t="s">
        <v>4</v>
      </c>
      <c r="H4" t="s">
        <v>3</v>
      </c>
      <c r="I4" s="9" t="s">
        <v>28</v>
      </c>
      <c r="M4" s="34" t="s">
        <v>33</v>
      </c>
      <c r="N4" t="s">
        <v>31</v>
      </c>
      <c r="O4" s="5">
        <v>0.78194444444444444</v>
      </c>
      <c r="P4">
        <v>7732</v>
      </c>
      <c r="Q4" s="9"/>
    </row>
    <row r="5" spans="2:17" x14ac:dyDescent="0.3">
      <c r="B5" s="18">
        <v>21</v>
      </c>
      <c r="C5" s="6">
        <v>0.29384578544061307</v>
      </c>
      <c r="D5" s="6">
        <v>3.1441570881226052E-2</v>
      </c>
      <c r="E5" s="6">
        <v>1.7600574712643677E-2</v>
      </c>
      <c r="F5" s="6">
        <f>SUM(C5:E5)</f>
        <v>0.34288793103448284</v>
      </c>
      <c r="I5" s="17">
        <f>F5+H5-G5</f>
        <v>0.34288793103448284</v>
      </c>
      <c r="M5" s="34"/>
      <c r="N5" t="s">
        <v>32</v>
      </c>
      <c r="O5" s="5">
        <v>0.8125</v>
      </c>
      <c r="P5">
        <v>7737</v>
      </c>
      <c r="Q5" s="9"/>
    </row>
    <row r="6" spans="2:17" ht="15" thickBot="1" x14ac:dyDescent="0.35">
      <c r="B6" s="18">
        <v>4</v>
      </c>
      <c r="C6" s="6">
        <v>0.27997685185185184</v>
      </c>
      <c r="D6" s="6">
        <v>3.6574074074074064E-2</v>
      </c>
      <c r="E6" s="6">
        <v>1.5046296296296297E-2</v>
      </c>
      <c r="F6" s="6">
        <f t="shared" ref="F6:F9" si="0">SUM(C6:E6)</f>
        <v>0.33159722222222221</v>
      </c>
      <c r="G6" s="5">
        <v>4.1666666666666664E-2</v>
      </c>
      <c r="H6" s="5">
        <f>O10+O39</f>
        <v>6.9444444444444448E-2</v>
      </c>
      <c r="I6" s="17">
        <f t="shared" ref="I6:I9" si="1">F6+H6-G6</f>
        <v>0.35937499999999994</v>
      </c>
      <c r="M6" s="35"/>
      <c r="N6" s="8" t="s">
        <v>26</v>
      </c>
      <c r="O6" s="24">
        <f>O5-O4</f>
        <v>3.0555555555555558E-2</v>
      </c>
      <c r="P6" s="8">
        <f>P5-P4</f>
        <v>5</v>
      </c>
      <c r="Q6" s="26">
        <v>2.25</v>
      </c>
    </row>
    <row r="7" spans="2:17" ht="15" thickBot="1" x14ac:dyDescent="0.35">
      <c r="B7" s="18">
        <v>3</v>
      </c>
      <c r="C7" s="6">
        <v>0.26027777777777772</v>
      </c>
      <c r="D7" s="6">
        <v>2.282407407407407E-2</v>
      </c>
      <c r="E7" s="6">
        <v>1.6134259259259258E-2</v>
      </c>
      <c r="F7" s="6">
        <f t="shared" si="0"/>
        <v>0.29923611111111104</v>
      </c>
      <c r="G7" s="5">
        <f>O10+O39</f>
        <v>6.9444444444444448E-2</v>
      </c>
      <c r="H7" s="5">
        <f>O14+O44</f>
        <v>8.3333333333333481E-2</v>
      </c>
      <c r="I7" s="17">
        <f t="shared" si="1"/>
        <v>0.3131250000000001</v>
      </c>
    </row>
    <row r="8" spans="2:17" x14ac:dyDescent="0.3">
      <c r="B8" s="18">
        <v>7</v>
      </c>
      <c r="C8" s="6">
        <v>0.25677681992337165</v>
      </c>
      <c r="D8" s="6">
        <v>5.6273946360153253E-2</v>
      </c>
      <c r="E8" s="6">
        <v>1.8342911877394636E-2</v>
      </c>
      <c r="F8" s="6">
        <f t="shared" si="0"/>
        <v>0.33139367816091952</v>
      </c>
      <c r="I8" s="17">
        <f t="shared" si="1"/>
        <v>0.33139367816091952</v>
      </c>
      <c r="M8" s="33" t="s">
        <v>34</v>
      </c>
      <c r="N8" s="10" t="s">
        <v>31</v>
      </c>
      <c r="O8" s="10"/>
      <c r="P8" s="10"/>
      <c r="Q8" s="19"/>
    </row>
    <row r="9" spans="2:17" x14ac:dyDescent="0.3">
      <c r="B9" s="18">
        <v>5</v>
      </c>
      <c r="C9" s="6">
        <v>0.2460249042145593</v>
      </c>
      <c r="D9" s="6">
        <v>4.1235632183908043E-2</v>
      </c>
      <c r="E9" s="6">
        <v>1.7265325670498086E-2</v>
      </c>
      <c r="F9" s="6">
        <f t="shared" si="0"/>
        <v>0.30452586206896542</v>
      </c>
      <c r="G9" s="5"/>
      <c r="H9" s="3">
        <v>3.9583333333333331E-2</v>
      </c>
      <c r="I9" s="17">
        <f t="shared" si="1"/>
        <v>0.34410919540229878</v>
      </c>
      <c r="M9" s="34"/>
      <c r="N9" t="s">
        <v>32</v>
      </c>
      <c r="Q9" s="9"/>
    </row>
    <row r="10" spans="2:17" ht="15" thickBot="1" x14ac:dyDescent="0.35">
      <c r="B10" s="16"/>
      <c r="I10" s="9"/>
      <c r="M10" s="35"/>
      <c r="N10" s="8" t="s">
        <v>26</v>
      </c>
      <c r="O10" s="24">
        <v>4.8611111111111112E-2</v>
      </c>
      <c r="P10" s="8">
        <v>6</v>
      </c>
      <c r="Q10" s="26">
        <f>P10*0.45</f>
        <v>2.7</v>
      </c>
    </row>
    <row r="11" spans="2:17" ht="15" thickBot="1" x14ac:dyDescent="0.35">
      <c r="B11" s="16"/>
      <c r="D11" t="s">
        <v>4</v>
      </c>
      <c r="E11" t="s">
        <v>3</v>
      </c>
      <c r="F11" t="s">
        <v>28</v>
      </c>
      <c r="I11" s="9"/>
    </row>
    <row r="12" spans="2:17" x14ac:dyDescent="0.3">
      <c r="B12" s="18">
        <v>3</v>
      </c>
      <c r="C12" s="2">
        <v>17.869666666666667</v>
      </c>
      <c r="D12">
        <f>Q10+Q39</f>
        <v>4.95</v>
      </c>
      <c r="E12">
        <f>3+1.85</f>
        <v>4.8499999999999996</v>
      </c>
      <c r="F12">
        <f>C12+E12-D12</f>
        <v>17.769666666666669</v>
      </c>
      <c r="I12" s="9"/>
      <c r="M12" s="39" t="s">
        <v>35</v>
      </c>
      <c r="N12" s="10" t="s">
        <v>31</v>
      </c>
      <c r="O12" s="21">
        <v>0.97569444444444442</v>
      </c>
      <c r="P12" s="10">
        <v>5674</v>
      </c>
      <c r="Q12" s="19"/>
    </row>
    <row r="13" spans="2:17" x14ac:dyDescent="0.3">
      <c r="B13" s="18">
        <v>7</v>
      </c>
      <c r="C13" s="2">
        <v>17.051724137931036</v>
      </c>
      <c r="F13">
        <f t="shared" ref="F13:F15" si="2">C13+E13-D13</f>
        <v>17.051724137931036</v>
      </c>
      <c r="I13" s="9"/>
      <c r="M13" s="40"/>
      <c r="N13" t="s">
        <v>32</v>
      </c>
      <c r="O13" s="6">
        <v>1.0333333333333334</v>
      </c>
      <c r="P13">
        <v>5682</v>
      </c>
      <c r="Q13" s="9"/>
    </row>
    <row r="14" spans="2:17" ht="15" thickBot="1" x14ac:dyDescent="0.35">
      <c r="B14" s="18">
        <v>21</v>
      </c>
      <c r="C14" s="2">
        <v>17.006551724137932</v>
      </c>
      <c r="F14">
        <f t="shared" si="2"/>
        <v>17.006551724137932</v>
      </c>
      <c r="I14" s="9"/>
      <c r="M14" s="41"/>
      <c r="N14" s="8" t="s">
        <v>26</v>
      </c>
      <c r="O14" s="14">
        <f>O13-O12</f>
        <v>5.7638888888889017E-2</v>
      </c>
      <c r="P14" s="8">
        <f>P13-P12</f>
        <v>8</v>
      </c>
      <c r="Q14" s="26">
        <f>P14*0.463</f>
        <v>3.7040000000000002</v>
      </c>
    </row>
    <row r="15" spans="2:17" ht="15" thickBot="1" x14ac:dyDescent="0.35">
      <c r="B15" s="18">
        <v>5</v>
      </c>
      <c r="C15" s="2">
        <v>15.281379310344828</v>
      </c>
      <c r="E15">
        <v>2.15</v>
      </c>
      <c r="F15">
        <f t="shared" si="2"/>
        <v>17.431379310344827</v>
      </c>
      <c r="I15" s="9"/>
    </row>
    <row r="16" spans="2:17" ht="15" thickBot="1" x14ac:dyDescent="0.35">
      <c r="B16" s="12">
        <v>4</v>
      </c>
      <c r="C16" s="22">
        <v>14.169333333333336</v>
      </c>
      <c r="D16" s="8">
        <v>1.5</v>
      </c>
      <c r="E16" s="8">
        <f>Q10+Q39</f>
        <v>4.95</v>
      </c>
      <c r="F16" s="8">
        <f>C16+E16-D16</f>
        <v>17.619333333333337</v>
      </c>
      <c r="G16" s="8"/>
      <c r="H16" s="8"/>
      <c r="I16" s="26"/>
      <c r="M16" s="33" t="s">
        <v>36</v>
      </c>
      <c r="N16" s="10" t="s">
        <v>31</v>
      </c>
      <c r="O16" s="11">
        <v>0.6069444444444444</v>
      </c>
      <c r="P16" s="10">
        <v>7705</v>
      </c>
      <c r="Q16" s="19"/>
    </row>
    <row r="17" spans="2:17" x14ac:dyDescent="0.3">
      <c r="B17" s="16"/>
      <c r="I17" s="9"/>
      <c r="M17" s="34"/>
      <c r="N17" t="s">
        <v>32</v>
      </c>
      <c r="O17" s="5">
        <v>0.62222222222222223</v>
      </c>
      <c r="P17">
        <v>7706</v>
      </c>
      <c r="Q17" s="9"/>
    </row>
    <row r="18" spans="2:17" ht="15" thickBot="1" x14ac:dyDescent="0.35">
      <c r="B18" s="16"/>
      <c r="I18" s="9"/>
      <c r="M18" s="34"/>
      <c r="N18" t="s">
        <v>26</v>
      </c>
      <c r="O18" s="5">
        <f>O17-O16</f>
        <v>1.5277777777777835E-2</v>
      </c>
      <c r="P18">
        <f>P17-P16</f>
        <v>1</v>
      </c>
      <c r="Q18" s="9"/>
    </row>
    <row r="19" spans="2:17" ht="15" thickBot="1" x14ac:dyDescent="0.35">
      <c r="B19" s="25"/>
      <c r="C19" s="36" t="s">
        <v>29</v>
      </c>
      <c r="D19" s="36"/>
      <c r="E19" s="36"/>
      <c r="F19" s="36"/>
      <c r="G19" s="13"/>
      <c r="H19" s="13"/>
      <c r="I19" s="20"/>
      <c r="M19" s="16"/>
      <c r="Q19" s="9"/>
    </row>
    <row r="20" spans="2:17" x14ac:dyDescent="0.3">
      <c r="B20" s="16"/>
      <c r="C20" t="s">
        <v>23</v>
      </c>
      <c r="D20" t="s">
        <v>24</v>
      </c>
      <c r="E20" t="s">
        <v>25</v>
      </c>
      <c r="F20" t="s">
        <v>26</v>
      </c>
      <c r="G20" t="s">
        <v>4</v>
      </c>
      <c r="H20" t="s">
        <v>3</v>
      </c>
      <c r="I20" s="9" t="s">
        <v>28</v>
      </c>
      <c r="M20" s="34" t="s">
        <v>36</v>
      </c>
      <c r="N20" t="s">
        <v>31</v>
      </c>
      <c r="O20" s="5">
        <v>0.5</v>
      </c>
      <c r="P20">
        <v>7688</v>
      </c>
      <c r="Q20" s="9"/>
    </row>
    <row r="21" spans="2:17" x14ac:dyDescent="0.3">
      <c r="B21" s="18">
        <v>2</v>
      </c>
      <c r="C21" s="6">
        <v>0.29437500000000011</v>
      </c>
      <c r="D21" s="6">
        <v>3.5300925925925916E-2</v>
      </c>
      <c r="E21" s="6">
        <v>1.6134259259259258E-2</v>
      </c>
      <c r="F21" s="6">
        <f>SUM(C21:E21)</f>
        <v>0.3458101851851853</v>
      </c>
      <c r="H21" s="5">
        <v>3.4722222222222224E-2</v>
      </c>
      <c r="I21" s="17">
        <f>F21+H21-G21</f>
        <v>0.38053240740740751</v>
      </c>
      <c r="M21" s="34"/>
      <c r="N21" t="s">
        <v>32</v>
      </c>
      <c r="O21" s="5">
        <v>0.52430555555555558</v>
      </c>
      <c r="P21">
        <v>7692</v>
      </c>
      <c r="Q21" s="9"/>
    </row>
    <row r="22" spans="2:17" ht="15" thickBot="1" x14ac:dyDescent="0.35">
      <c r="B22" s="18">
        <v>11</v>
      </c>
      <c r="C22" s="6">
        <v>0.27856481481481488</v>
      </c>
      <c r="D22" s="6">
        <v>4.342592592592593E-2</v>
      </c>
      <c r="E22" s="6">
        <v>1.9930555555555549E-2</v>
      </c>
      <c r="F22" s="6">
        <f t="shared" ref="F22:F25" si="3">SUM(C22:E22)</f>
        <v>0.34192129629629636</v>
      </c>
      <c r="G22" s="5">
        <f>O14+O44+O54</f>
        <v>0.11805555555555571</v>
      </c>
      <c r="H22" s="5">
        <f>SUM(O58,O62,O67)</f>
        <v>0.1027777777777778</v>
      </c>
      <c r="I22" s="17">
        <f t="shared" ref="I22:I25" si="4">F22+H22-G22</f>
        <v>0.32664351851851847</v>
      </c>
      <c r="M22" s="35"/>
      <c r="N22" s="8" t="s">
        <v>26</v>
      </c>
      <c r="O22" s="24">
        <f>O21-O20</f>
        <v>2.430555555555558E-2</v>
      </c>
      <c r="P22" s="8">
        <f>P21-P20</f>
        <v>4</v>
      </c>
      <c r="Q22" s="26">
        <f>(P22+P18)*0.43</f>
        <v>2.15</v>
      </c>
    </row>
    <row r="23" spans="2:17" ht="15" thickBot="1" x14ac:dyDescent="0.35">
      <c r="B23" s="18">
        <v>1</v>
      </c>
      <c r="C23" s="6">
        <v>0.26504629629629628</v>
      </c>
      <c r="D23" s="6">
        <v>3.5671296296296298E-2</v>
      </c>
      <c r="E23" s="6">
        <v>1.7060185185185185E-2</v>
      </c>
      <c r="F23" s="6">
        <f t="shared" si="3"/>
        <v>0.31777777777777777</v>
      </c>
      <c r="I23" s="17">
        <f t="shared" si="4"/>
        <v>0.31777777777777777</v>
      </c>
    </row>
    <row r="24" spans="2:17" x14ac:dyDescent="0.3">
      <c r="B24" s="18">
        <v>6</v>
      </c>
      <c r="C24" s="6">
        <v>0.26155092592592594</v>
      </c>
      <c r="D24" s="6">
        <v>4.1851851851851855E-2</v>
      </c>
      <c r="E24" s="6">
        <v>1.5810185185185184E-2</v>
      </c>
      <c r="F24" s="6">
        <f t="shared" si="3"/>
        <v>0.31921296296296298</v>
      </c>
      <c r="H24" s="5">
        <v>4.1666666666666664E-2</v>
      </c>
      <c r="I24" s="17">
        <f t="shared" si="4"/>
        <v>0.36087962962962966</v>
      </c>
      <c r="M24" s="37" t="s">
        <v>38</v>
      </c>
      <c r="N24" s="10" t="s">
        <v>31</v>
      </c>
      <c r="O24" s="11">
        <v>0.5</v>
      </c>
      <c r="P24" s="10">
        <v>7688</v>
      </c>
      <c r="Q24" s="19"/>
    </row>
    <row r="25" spans="2:17" x14ac:dyDescent="0.3">
      <c r="B25" s="18">
        <v>21</v>
      </c>
      <c r="C25" s="6">
        <v>0.2498148148148148</v>
      </c>
      <c r="D25" s="6">
        <v>2.3356481481481482E-2</v>
      </c>
      <c r="E25" s="6">
        <v>1.2662037037037036E-2</v>
      </c>
      <c r="F25" s="6">
        <f t="shared" si="3"/>
        <v>0.28583333333333333</v>
      </c>
      <c r="I25" s="17">
        <f t="shared" si="4"/>
        <v>0.28583333333333333</v>
      </c>
      <c r="M25" s="38"/>
      <c r="N25" t="s">
        <v>32</v>
      </c>
      <c r="O25" s="5">
        <v>0.52777777777777779</v>
      </c>
      <c r="P25">
        <v>7692</v>
      </c>
      <c r="Q25" s="9"/>
    </row>
    <row r="26" spans="2:17" x14ac:dyDescent="0.3">
      <c r="B26" s="16"/>
      <c r="I26" s="9"/>
      <c r="M26" s="38"/>
      <c r="N26" t="s">
        <v>31</v>
      </c>
      <c r="O26" s="5">
        <v>0.53888888888888886</v>
      </c>
      <c r="P26">
        <v>7694</v>
      </c>
      <c r="Q26" s="9"/>
    </row>
    <row r="27" spans="2:17" x14ac:dyDescent="0.3">
      <c r="B27" s="16"/>
      <c r="D27" t="s">
        <v>4</v>
      </c>
      <c r="E27" t="s">
        <v>3</v>
      </c>
      <c r="F27" t="s">
        <v>28</v>
      </c>
      <c r="I27" s="9"/>
      <c r="M27" s="38"/>
      <c r="N27" t="s">
        <v>32</v>
      </c>
      <c r="O27" s="5">
        <v>0.55000000000000004</v>
      </c>
      <c r="P27">
        <v>7695</v>
      </c>
      <c r="Q27" s="9"/>
    </row>
    <row r="28" spans="2:17" x14ac:dyDescent="0.3">
      <c r="B28" s="18">
        <v>11</v>
      </c>
      <c r="C28" s="2">
        <v>17.299666666666667</v>
      </c>
      <c r="D28">
        <f>3+1.85+Q54</f>
        <v>6.85</v>
      </c>
      <c r="E28">
        <v>5.5</v>
      </c>
      <c r="F28">
        <f>C28+E28-D28</f>
        <v>15.949666666666667</v>
      </c>
      <c r="I28" s="9"/>
      <c r="M28" s="38"/>
      <c r="N28" t="s">
        <v>31</v>
      </c>
      <c r="O28" s="5">
        <v>0.55555555555555558</v>
      </c>
      <c r="P28">
        <v>7696</v>
      </c>
      <c r="Q28" s="9"/>
    </row>
    <row r="29" spans="2:17" x14ac:dyDescent="0.3">
      <c r="B29" s="18">
        <v>1</v>
      </c>
      <c r="C29" s="2">
        <v>17.286666666666669</v>
      </c>
      <c r="F29">
        <f t="shared" ref="F29:F31" si="5">C29+E29-D29</f>
        <v>17.286666666666669</v>
      </c>
      <c r="I29" s="9"/>
      <c r="M29" s="38"/>
      <c r="N29" t="s">
        <v>32</v>
      </c>
      <c r="O29" s="5">
        <v>0.56944444444444442</v>
      </c>
      <c r="P29">
        <v>7698</v>
      </c>
      <c r="Q29" s="9"/>
    </row>
    <row r="30" spans="2:17" ht="15" thickBot="1" x14ac:dyDescent="0.35">
      <c r="B30" s="18">
        <v>6</v>
      </c>
      <c r="C30" s="2">
        <v>16.041</v>
      </c>
      <c r="E30">
        <v>1.5</v>
      </c>
      <c r="F30">
        <f t="shared" si="5"/>
        <v>17.541</v>
      </c>
      <c r="I30" s="9"/>
      <c r="M30" s="27"/>
      <c r="N30" s="8" t="s">
        <v>26</v>
      </c>
      <c r="O30" s="24">
        <v>5.5555555555555552E-2</v>
      </c>
      <c r="P30" s="8">
        <f>P29-P28+P27-P26+P25-P24</f>
        <v>7</v>
      </c>
      <c r="Q30" s="26">
        <f>7*0.43</f>
        <v>3.01</v>
      </c>
    </row>
    <row r="31" spans="2:17" ht="15" thickBot="1" x14ac:dyDescent="0.35">
      <c r="B31" s="18">
        <v>2</v>
      </c>
      <c r="C31" s="2">
        <v>15.171666666666669</v>
      </c>
      <c r="E31">
        <v>2</v>
      </c>
      <c r="F31">
        <f t="shared" si="5"/>
        <v>17.171666666666667</v>
      </c>
      <c r="I31" s="9"/>
    </row>
    <row r="32" spans="2:17" ht="15" thickBot="1" x14ac:dyDescent="0.35">
      <c r="B32" s="12">
        <v>21</v>
      </c>
      <c r="C32" s="22">
        <v>9.7826666666666657</v>
      </c>
      <c r="D32" s="8"/>
      <c r="E32" s="8"/>
      <c r="F32" s="8">
        <f>C32+E32-D32</f>
        <v>9.7826666666666657</v>
      </c>
      <c r="G32" s="8"/>
      <c r="H32" s="8"/>
      <c r="I32" s="26"/>
      <c r="M32" s="33" t="s">
        <v>39</v>
      </c>
      <c r="N32" s="10" t="s">
        <v>31</v>
      </c>
      <c r="O32" s="11">
        <v>0.9819444444444444</v>
      </c>
      <c r="P32" s="10">
        <v>178369</v>
      </c>
      <c r="Q32" s="19"/>
    </row>
    <row r="33" spans="2:17" x14ac:dyDescent="0.3">
      <c r="M33" s="34"/>
      <c r="N33" t="s">
        <v>32</v>
      </c>
      <c r="O33" s="5">
        <v>1.0479166666666666</v>
      </c>
      <c r="P33">
        <v>178380</v>
      </c>
      <c r="Q33" s="9"/>
    </row>
    <row r="34" spans="2:17" x14ac:dyDescent="0.3">
      <c r="M34" s="34"/>
      <c r="N34" t="s">
        <v>31</v>
      </c>
      <c r="O34" s="5">
        <f>O33-O32</f>
        <v>6.597222222222221E-2</v>
      </c>
      <c r="P34">
        <f>P33-P32</f>
        <v>11</v>
      </c>
      <c r="Q34" s="9"/>
    </row>
    <row r="35" spans="2:17" ht="15" thickBot="1" x14ac:dyDescent="0.35">
      <c r="M35" s="35"/>
      <c r="N35" s="8"/>
      <c r="O35" s="24">
        <v>4.1666666666666664E-2</v>
      </c>
      <c r="P35" s="8">
        <v>7</v>
      </c>
      <c r="Q35" s="26">
        <v>1.5</v>
      </c>
    </row>
    <row r="36" spans="2:17" ht="15" thickBot="1" x14ac:dyDescent="0.35">
      <c r="B36" s="25"/>
      <c r="C36" s="36" t="s">
        <v>27</v>
      </c>
      <c r="D36" s="36"/>
      <c r="E36" s="36"/>
      <c r="F36" s="36"/>
      <c r="G36" s="13"/>
      <c r="H36" s="13"/>
      <c r="I36" s="20"/>
    </row>
    <row r="37" spans="2:17" x14ac:dyDescent="0.3">
      <c r="B37" s="16"/>
      <c r="C37" t="s">
        <v>26</v>
      </c>
      <c r="D37" t="s">
        <v>4</v>
      </c>
      <c r="E37" t="s">
        <v>3</v>
      </c>
      <c r="F37" t="s">
        <v>28</v>
      </c>
      <c r="I37" s="9"/>
      <c r="M37" s="33" t="s">
        <v>40</v>
      </c>
      <c r="N37" s="10" t="s">
        <v>31</v>
      </c>
      <c r="O37" s="10"/>
      <c r="P37" s="10"/>
      <c r="Q37" s="19"/>
    </row>
    <row r="38" spans="2:17" x14ac:dyDescent="0.3">
      <c r="B38" s="18">
        <v>9</v>
      </c>
      <c r="C38" s="6">
        <v>0.35148467432950176</v>
      </c>
      <c r="F38" s="6">
        <f>C38+E38-D38</f>
        <v>0.35148467432950176</v>
      </c>
      <c r="I38" s="9"/>
      <c r="M38" s="34"/>
      <c r="N38" t="s">
        <v>32</v>
      </c>
      <c r="Q38" s="9"/>
    </row>
    <row r="39" spans="2:17" ht="15" thickBot="1" x14ac:dyDescent="0.35">
      <c r="B39" s="18">
        <v>16</v>
      </c>
      <c r="C39" s="6">
        <v>0.39829980842911872</v>
      </c>
      <c r="F39" s="6">
        <f t="shared" ref="F39:F42" si="6">C39+E39-D39</f>
        <v>0.39829980842911872</v>
      </c>
      <c r="I39" s="9"/>
      <c r="M39" s="35"/>
      <c r="N39" s="8" t="s">
        <v>26</v>
      </c>
      <c r="O39" s="24">
        <v>2.0833333333333332E-2</v>
      </c>
      <c r="P39" s="8">
        <v>5</v>
      </c>
      <c r="Q39" s="26">
        <v>2.25</v>
      </c>
    </row>
    <row r="40" spans="2:17" x14ac:dyDescent="0.3">
      <c r="B40" s="18">
        <v>18</v>
      </c>
      <c r="C40" s="6">
        <v>0.44183429118773948</v>
      </c>
      <c r="F40" s="6">
        <f t="shared" si="6"/>
        <v>0.44183429118773948</v>
      </c>
      <c r="I40" s="9"/>
    </row>
    <row r="41" spans="2:17" ht="15" thickBot="1" x14ac:dyDescent="0.35">
      <c r="B41" s="18">
        <v>14</v>
      </c>
      <c r="C41" s="6">
        <v>0.41032088122605359</v>
      </c>
      <c r="F41" s="6">
        <f t="shared" si="6"/>
        <v>0.41032088122605359</v>
      </c>
      <c r="I41" s="9"/>
    </row>
    <row r="42" spans="2:17" x14ac:dyDescent="0.3">
      <c r="B42" s="18">
        <v>13</v>
      </c>
      <c r="C42" s="6">
        <v>0.35495689655172402</v>
      </c>
      <c r="D42" s="5">
        <v>5.5555555555555552E-2</v>
      </c>
      <c r="F42" s="6">
        <f t="shared" si="6"/>
        <v>0.29940134099616844</v>
      </c>
      <c r="I42" s="9"/>
      <c r="M42" s="39" t="s">
        <v>41</v>
      </c>
      <c r="N42" s="10" t="s">
        <v>31</v>
      </c>
      <c r="O42" s="11">
        <v>0.96111111111111114</v>
      </c>
      <c r="P42" s="10">
        <v>100158</v>
      </c>
      <c r="Q42" s="19"/>
    </row>
    <row r="43" spans="2:17" ht="15" thickBot="1" x14ac:dyDescent="0.35">
      <c r="B43" s="12">
        <v>20</v>
      </c>
      <c r="C43" s="14">
        <v>0.37444923371647498</v>
      </c>
      <c r="D43" s="8"/>
      <c r="E43" s="8"/>
      <c r="F43" s="14">
        <f>C43+E43-D43</f>
        <v>0.37444923371647498</v>
      </c>
      <c r="G43" s="8"/>
      <c r="H43" s="8"/>
      <c r="I43" s="26"/>
      <c r="M43" s="40"/>
      <c r="N43" t="s">
        <v>32</v>
      </c>
      <c r="O43" s="5">
        <v>0.9868055555555556</v>
      </c>
      <c r="P43">
        <v>100162</v>
      </c>
      <c r="Q43" s="9"/>
    </row>
    <row r="44" spans="2:17" ht="15" thickBot="1" x14ac:dyDescent="0.35">
      <c r="B44" s="16"/>
      <c r="I44" s="9"/>
      <c r="M44" s="41"/>
      <c r="N44" s="8" t="s">
        <v>26</v>
      </c>
      <c r="O44" s="24">
        <f>O43-O42</f>
        <v>2.5694444444444464E-2</v>
      </c>
      <c r="P44" s="8">
        <f>P43-P42</f>
        <v>4</v>
      </c>
      <c r="Q44" s="26">
        <v>1.85</v>
      </c>
    </row>
    <row r="45" spans="2:17" x14ac:dyDescent="0.3">
      <c r="B45" s="16"/>
      <c r="I45" s="9"/>
      <c r="N45" s="5"/>
    </row>
    <row r="46" spans="2:17" ht="15" thickBot="1" x14ac:dyDescent="0.35">
      <c r="B46" s="16" t="s">
        <v>0</v>
      </c>
      <c r="C46" t="s">
        <v>26</v>
      </c>
      <c r="D46" t="s">
        <v>4</v>
      </c>
      <c r="E46" t="s">
        <v>3</v>
      </c>
      <c r="F46" t="s">
        <v>28</v>
      </c>
      <c r="I46" s="9"/>
      <c r="N46" s="5"/>
    </row>
    <row r="47" spans="2:17" x14ac:dyDescent="0.3">
      <c r="B47" s="18">
        <v>9</v>
      </c>
      <c r="C47" s="7">
        <v>19.101379310344825</v>
      </c>
      <c r="F47">
        <f>C47+E47-D47</f>
        <v>19.101379310344825</v>
      </c>
      <c r="I47" s="9"/>
      <c r="M47" s="33" t="s">
        <v>42</v>
      </c>
      <c r="N47" s="10" t="s">
        <v>31</v>
      </c>
      <c r="O47" s="11">
        <v>0.74236111111111114</v>
      </c>
      <c r="P47" s="10">
        <v>100121</v>
      </c>
      <c r="Q47" s="19"/>
    </row>
    <row r="48" spans="2:17" x14ac:dyDescent="0.3">
      <c r="B48" s="18">
        <v>16</v>
      </c>
      <c r="C48" s="7">
        <v>18.126551724137929</v>
      </c>
      <c r="F48">
        <f t="shared" ref="F48:F50" si="7">C48+E48-D48</f>
        <v>18.126551724137929</v>
      </c>
      <c r="I48" s="9"/>
      <c r="M48" s="34"/>
      <c r="N48" t="s">
        <v>32</v>
      </c>
      <c r="O48" s="5">
        <v>0.7583333333333333</v>
      </c>
      <c r="P48">
        <v>100124</v>
      </c>
      <c r="Q48" s="9"/>
    </row>
    <row r="49" spans="2:17" ht="15" thickBot="1" x14ac:dyDescent="0.35">
      <c r="B49" s="18">
        <v>20</v>
      </c>
      <c r="C49" s="7">
        <v>16.916206896551728</v>
      </c>
      <c r="F49">
        <f t="shared" si="7"/>
        <v>16.916206896551728</v>
      </c>
      <c r="I49" s="9"/>
      <c r="M49" s="35"/>
      <c r="N49" s="8" t="s">
        <v>26</v>
      </c>
      <c r="O49" s="5">
        <f>O48-O47</f>
        <v>1.5972222222222165E-2</v>
      </c>
      <c r="P49">
        <f>P48-P47</f>
        <v>3</v>
      </c>
      <c r="Q49" s="9"/>
    </row>
    <row r="50" spans="2:17" ht="15" thickBot="1" x14ac:dyDescent="0.35">
      <c r="B50" s="18">
        <v>13</v>
      </c>
      <c r="C50" s="7">
        <v>19.107931034482757</v>
      </c>
      <c r="D50">
        <v>3.1</v>
      </c>
      <c r="F50">
        <f t="shared" si="7"/>
        <v>16.007931034482755</v>
      </c>
      <c r="I50" s="9"/>
      <c r="M50" s="16"/>
      <c r="N50" s="5"/>
      <c r="Q50" s="9"/>
    </row>
    <row r="51" spans="2:17" x14ac:dyDescent="0.3">
      <c r="B51" s="18">
        <v>14</v>
      </c>
      <c r="C51" s="7">
        <v>18.466551724137929</v>
      </c>
      <c r="F51">
        <f>C51+E51-D51</f>
        <v>18.466551724137929</v>
      </c>
      <c r="I51" s="9"/>
      <c r="M51" s="33" t="s">
        <v>43</v>
      </c>
      <c r="N51" s="10" t="s">
        <v>31</v>
      </c>
      <c r="O51" s="5">
        <v>0.76944444444444449</v>
      </c>
      <c r="P51">
        <v>100126</v>
      </c>
      <c r="Q51" s="9"/>
    </row>
    <row r="52" spans="2:17" x14ac:dyDescent="0.3">
      <c r="B52" s="18">
        <v>18</v>
      </c>
      <c r="C52" s="7">
        <v>16.945862068965518</v>
      </c>
      <c r="F52">
        <f>C52+E52-D52</f>
        <v>16.945862068965518</v>
      </c>
      <c r="I52" s="9"/>
      <c r="M52" s="34"/>
      <c r="N52" t="s">
        <v>32</v>
      </c>
      <c r="O52" s="5">
        <v>0.78194444444444444</v>
      </c>
      <c r="P52">
        <v>100127</v>
      </c>
      <c r="Q52" s="9"/>
    </row>
    <row r="53" spans="2:17" ht="15" thickBot="1" x14ac:dyDescent="0.35">
      <c r="B53" s="16"/>
      <c r="I53" s="9"/>
      <c r="M53" s="35"/>
      <c r="N53" s="8" t="s">
        <v>26</v>
      </c>
      <c r="O53" s="5">
        <f>O52-O51</f>
        <v>1.2499999999999956E-2</v>
      </c>
      <c r="P53">
        <f>P52-P51</f>
        <v>1</v>
      </c>
      <c r="Q53" s="9"/>
    </row>
    <row r="54" spans="2:17" ht="15" thickBot="1" x14ac:dyDescent="0.35">
      <c r="B54" s="25"/>
      <c r="C54" s="36" t="s">
        <v>37</v>
      </c>
      <c r="D54" s="36"/>
      <c r="E54" s="36"/>
      <c r="F54" s="36"/>
      <c r="G54" s="13"/>
      <c r="H54" s="13"/>
      <c r="I54" s="20"/>
      <c r="M54" s="27"/>
      <c r="N54" s="8"/>
      <c r="O54" s="24">
        <v>3.4722222222222224E-2</v>
      </c>
      <c r="P54" s="8">
        <v>5</v>
      </c>
      <c r="Q54" s="26">
        <v>2</v>
      </c>
    </row>
    <row r="55" spans="2:17" ht="15" thickBot="1" x14ac:dyDescent="0.35">
      <c r="B55" s="16"/>
      <c r="C55" t="s">
        <v>26</v>
      </c>
      <c r="D55" t="s">
        <v>4</v>
      </c>
      <c r="E55" t="s">
        <v>3</v>
      </c>
      <c r="F55" t="s">
        <v>28</v>
      </c>
      <c r="I55" s="9"/>
      <c r="O55" s="5"/>
    </row>
    <row r="56" spans="2:17" x14ac:dyDescent="0.3">
      <c r="B56" s="18">
        <v>17</v>
      </c>
      <c r="C56" s="6">
        <v>0.40819444444444442</v>
      </c>
      <c r="F56" s="6">
        <f>C56+E56-D56</f>
        <v>0.40819444444444442</v>
      </c>
      <c r="I56" s="9"/>
      <c r="M56" s="33" t="s">
        <v>44</v>
      </c>
      <c r="N56" s="10" t="s">
        <v>31</v>
      </c>
      <c r="O56" s="11">
        <v>0.41319444444444442</v>
      </c>
      <c r="P56" s="19">
        <v>116707</v>
      </c>
      <c r="Q56" s="19"/>
    </row>
    <row r="57" spans="2:17" x14ac:dyDescent="0.3">
      <c r="B57" s="18">
        <v>8</v>
      </c>
      <c r="C57" s="6">
        <v>0.44851851851851854</v>
      </c>
      <c r="F57" s="6">
        <f t="shared" ref="F57:F61" si="8">C57+E57-D57</f>
        <v>0.44851851851851854</v>
      </c>
      <c r="I57" s="9"/>
      <c r="M57" s="34"/>
      <c r="N57" t="s">
        <v>32</v>
      </c>
      <c r="O57" s="5">
        <v>0.45694444444444443</v>
      </c>
      <c r="P57" s="9">
        <v>116712</v>
      </c>
      <c r="Q57" s="9"/>
    </row>
    <row r="58" spans="2:17" ht="15" thickBot="1" x14ac:dyDescent="0.35">
      <c r="B58" s="18">
        <v>15</v>
      </c>
      <c r="C58" s="6">
        <v>0.38282407407407404</v>
      </c>
      <c r="D58" s="5">
        <v>5.9027777777777776E-2</v>
      </c>
      <c r="E58" s="5">
        <v>3.6805555555555557E-2</v>
      </c>
      <c r="F58" s="6">
        <f t="shared" si="8"/>
        <v>0.36060185185185178</v>
      </c>
      <c r="I58" s="9"/>
      <c r="M58" s="35"/>
      <c r="N58" s="8" t="s">
        <v>26</v>
      </c>
      <c r="O58" s="24">
        <f>O57-O56</f>
        <v>4.3750000000000011E-2</v>
      </c>
      <c r="P58" s="26">
        <f>P57-P56</f>
        <v>5</v>
      </c>
      <c r="Q58" s="9"/>
    </row>
    <row r="59" spans="2:17" ht="15" thickBot="1" x14ac:dyDescent="0.35">
      <c r="B59" s="18">
        <v>12</v>
      </c>
      <c r="C59" s="6">
        <v>0.37756944444444435</v>
      </c>
      <c r="F59" s="6">
        <f t="shared" si="8"/>
        <v>0.37756944444444435</v>
      </c>
      <c r="I59" s="9"/>
      <c r="M59" s="16"/>
      <c r="Q59" s="9"/>
    </row>
    <row r="60" spans="2:17" x14ac:dyDescent="0.3">
      <c r="B60" s="18">
        <v>10</v>
      </c>
      <c r="C60" s="6">
        <v>0.3373842592592593</v>
      </c>
      <c r="D60" s="5">
        <v>0.10277777777777777</v>
      </c>
      <c r="E60" s="5">
        <v>5.9027777777777776E-2</v>
      </c>
      <c r="F60" s="6">
        <f t="shared" si="8"/>
        <v>0.29363425925925934</v>
      </c>
      <c r="I60" s="9"/>
      <c r="M60" s="33" t="s">
        <v>45</v>
      </c>
      <c r="N60" s="10" t="s">
        <v>31</v>
      </c>
      <c r="O60" s="11">
        <v>0.54305555555555551</v>
      </c>
      <c r="P60" s="19">
        <v>116729</v>
      </c>
      <c r="Q60" s="9"/>
    </row>
    <row r="61" spans="2:17" ht="15" thickBot="1" x14ac:dyDescent="0.35">
      <c r="B61" s="12">
        <v>19</v>
      </c>
      <c r="C61" s="14">
        <v>0.40043981481481483</v>
      </c>
      <c r="D61" s="8"/>
      <c r="E61" s="8"/>
      <c r="F61" s="6">
        <f t="shared" si="8"/>
        <v>0.40043981481481483</v>
      </c>
      <c r="G61" s="8"/>
      <c r="H61" s="8"/>
      <c r="I61" s="26"/>
      <c r="M61" s="34"/>
      <c r="N61" t="s">
        <v>32</v>
      </c>
      <c r="O61" s="5">
        <v>0.58819444444444446</v>
      </c>
      <c r="P61" s="9">
        <v>116732</v>
      </c>
      <c r="Q61" s="9"/>
    </row>
    <row r="62" spans="2:17" ht="15" thickBot="1" x14ac:dyDescent="0.35">
      <c r="B62" s="16"/>
      <c r="I62" s="9"/>
      <c r="M62" s="35"/>
      <c r="N62" s="8" t="s">
        <v>26</v>
      </c>
      <c r="O62" s="24">
        <f>O61-O60</f>
        <v>4.5138888888888951E-2</v>
      </c>
      <c r="P62" s="26">
        <f>P61-P60</f>
        <v>3</v>
      </c>
      <c r="Q62" s="9"/>
    </row>
    <row r="63" spans="2:17" x14ac:dyDescent="0.3">
      <c r="B63" s="15"/>
      <c r="C63" s="10" t="s">
        <v>26</v>
      </c>
      <c r="D63" s="10" t="s">
        <v>4</v>
      </c>
      <c r="E63" s="10" t="s">
        <v>3</v>
      </c>
      <c r="F63" s="10" t="s">
        <v>28</v>
      </c>
      <c r="G63" s="10"/>
      <c r="H63" s="10"/>
      <c r="I63" s="19"/>
      <c r="M63" s="16"/>
      <c r="Q63" s="9"/>
    </row>
    <row r="64" spans="2:17" ht="14.4" customHeight="1" thickBot="1" x14ac:dyDescent="0.35">
      <c r="B64" s="18">
        <v>17</v>
      </c>
      <c r="C64" s="7">
        <v>21.780333333333338</v>
      </c>
      <c r="D64">
        <v>2</v>
      </c>
      <c r="F64" s="7">
        <f>C64+E64-D64</f>
        <v>19.780333333333338</v>
      </c>
      <c r="I64" s="9"/>
      <c r="M64" s="16"/>
      <c r="Q64" s="9"/>
    </row>
    <row r="65" spans="2:23" ht="13.8" customHeight="1" x14ac:dyDescent="0.3">
      <c r="B65" s="18">
        <v>15</v>
      </c>
      <c r="C65" s="7">
        <v>22.369666666666671</v>
      </c>
      <c r="D65">
        <v>5.5</v>
      </c>
      <c r="E65">
        <v>2</v>
      </c>
      <c r="F65" s="7">
        <f t="shared" ref="F65:F69" si="9">C65+E65-D65</f>
        <v>18.869666666666671</v>
      </c>
      <c r="I65" s="9"/>
      <c r="M65" s="33" t="s">
        <v>46</v>
      </c>
      <c r="N65" s="10" t="s">
        <v>31</v>
      </c>
      <c r="O65" s="11">
        <v>0.65763888888888888</v>
      </c>
      <c r="P65" s="19">
        <v>116746</v>
      </c>
      <c r="Q65" s="9"/>
    </row>
    <row r="66" spans="2:23" x14ac:dyDescent="0.3">
      <c r="B66" s="18">
        <v>12</v>
      </c>
      <c r="C66" s="7">
        <v>18.828666666666663</v>
      </c>
      <c r="F66" s="7">
        <f t="shared" si="9"/>
        <v>18.828666666666663</v>
      </c>
      <c r="I66" s="9"/>
      <c r="M66" s="34"/>
      <c r="N66" t="s">
        <v>32</v>
      </c>
      <c r="O66" s="5">
        <v>0.67152777777777772</v>
      </c>
      <c r="P66" s="9">
        <v>116748</v>
      </c>
      <c r="Q66" s="9"/>
    </row>
    <row r="67" spans="2:23" ht="15" thickBot="1" x14ac:dyDescent="0.35">
      <c r="B67" s="18">
        <v>10</v>
      </c>
      <c r="C67" s="7">
        <v>19.275333333333332</v>
      </c>
      <c r="D67">
        <v>5.5</v>
      </c>
      <c r="E67">
        <v>5.5</v>
      </c>
      <c r="F67" s="7">
        <f t="shared" si="9"/>
        <v>19.275333333333332</v>
      </c>
      <c r="I67" s="9"/>
      <c r="M67" s="35"/>
      <c r="N67" s="8" t="s">
        <v>26</v>
      </c>
      <c r="O67" s="24">
        <f>O66-O65</f>
        <v>1.388888888888884E-2</v>
      </c>
      <c r="P67" s="26">
        <f>P66-P65</f>
        <v>2</v>
      </c>
      <c r="Q67" s="26">
        <v>5.5</v>
      </c>
    </row>
    <row r="68" spans="2:23" ht="15" thickBot="1" x14ac:dyDescent="0.35">
      <c r="B68" s="18">
        <v>8</v>
      </c>
      <c r="C68" s="7">
        <v>19.267666666666667</v>
      </c>
      <c r="F68" s="7">
        <f t="shared" si="9"/>
        <v>19.267666666666667</v>
      </c>
      <c r="I68" s="9"/>
    </row>
    <row r="69" spans="2:23" ht="15" thickBot="1" x14ac:dyDescent="0.35">
      <c r="B69" s="12">
        <v>19</v>
      </c>
      <c r="C69" s="23">
        <v>19.972666666666669</v>
      </c>
      <c r="D69" s="8"/>
      <c r="E69" s="8"/>
      <c r="F69" s="7">
        <f t="shared" si="9"/>
        <v>19.972666666666669</v>
      </c>
      <c r="G69" s="8"/>
      <c r="H69" s="8"/>
      <c r="I69" s="26"/>
      <c r="M69" s="33" t="s">
        <v>47</v>
      </c>
      <c r="N69" s="10" t="s">
        <v>31</v>
      </c>
      <c r="O69" s="5">
        <v>0.5</v>
      </c>
      <c r="P69">
        <v>190452</v>
      </c>
      <c r="S69" s="30" t="s">
        <v>18</v>
      </c>
      <c r="T69" t="s">
        <v>5</v>
      </c>
      <c r="U69" s="5">
        <v>0.3298611111111111</v>
      </c>
      <c r="V69">
        <v>183620</v>
      </c>
    </row>
    <row r="70" spans="2:23" x14ac:dyDescent="0.3">
      <c r="M70" s="34"/>
      <c r="N70" t="s">
        <v>32</v>
      </c>
      <c r="O70" s="5">
        <v>0.55902777777777779</v>
      </c>
      <c r="P70">
        <v>190462</v>
      </c>
      <c r="S70" s="30"/>
      <c r="T70" t="s">
        <v>6</v>
      </c>
      <c r="U70" s="5">
        <v>0.39374999999999999</v>
      </c>
      <c r="V70">
        <v>183628</v>
      </c>
    </row>
    <row r="71" spans="2:23" ht="15" thickBot="1" x14ac:dyDescent="0.35">
      <c r="M71" s="35"/>
      <c r="N71" s="8" t="s">
        <v>26</v>
      </c>
      <c r="O71" s="24">
        <f>O70-O69</f>
        <v>5.902777777777779E-2</v>
      </c>
      <c r="P71" s="26">
        <f>P70-P69</f>
        <v>10</v>
      </c>
      <c r="Q71">
        <v>5.5</v>
      </c>
      <c r="S71" s="30"/>
      <c r="T71" t="s">
        <v>7</v>
      </c>
      <c r="U71" s="5">
        <f>U70-U69</f>
        <v>6.3888888888888884E-2</v>
      </c>
      <c r="V71">
        <f>V70-V69</f>
        <v>8</v>
      </c>
      <c r="W71">
        <v>4.8</v>
      </c>
    </row>
    <row r="72" spans="2:23" ht="15" thickBot="1" x14ac:dyDescent="0.35"/>
    <row r="73" spans="2:23" x14ac:dyDescent="0.3">
      <c r="M73" s="33" t="s">
        <v>48</v>
      </c>
      <c r="N73" s="10" t="s">
        <v>31</v>
      </c>
      <c r="O73" s="5">
        <v>0.64375000000000004</v>
      </c>
      <c r="P73">
        <v>106991</v>
      </c>
      <c r="S73" s="30" t="s">
        <v>17</v>
      </c>
      <c r="T73" t="s">
        <v>5</v>
      </c>
      <c r="U73" s="5">
        <v>0.34375</v>
      </c>
      <c r="V73">
        <v>59974</v>
      </c>
    </row>
    <row r="74" spans="2:23" x14ac:dyDescent="0.3">
      <c r="M74" s="34"/>
      <c r="N74" t="s">
        <v>32</v>
      </c>
      <c r="O74" s="5">
        <v>0.68055555555555558</v>
      </c>
      <c r="P74">
        <v>106995</v>
      </c>
      <c r="S74" s="30"/>
      <c r="T74" t="s">
        <v>6</v>
      </c>
      <c r="U74" s="5">
        <v>0.3923611111111111</v>
      </c>
      <c r="V74">
        <v>59980</v>
      </c>
    </row>
    <row r="75" spans="2:23" ht="15" thickBot="1" x14ac:dyDescent="0.35">
      <c r="M75" s="35"/>
      <c r="N75" s="8" t="s">
        <v>26</v>
      </c>
      <c r="O75" s="24">
        <f>O74-O73</f>
        <v>3.6805555555555536E-2</v>
      </c>
      <c r="P75" s="26">
        <f>P74-P73</f>
        <v>4</v>
      </c>
      <c r="Q75">
        <v>2</v>
      </c>
      <c r="S75" s="30"/>
      <c r="T75" t="s">
        <v>7</v>
      </c>
      <c r="U75" s="5">
        <f>U74-U73</f>
        <v>4.8611111111111105E-2</v>
      </c>
      <c r="V75" s="7">
        <f>V74-V73</f>
        <v>6</v>
      </c>
      <c r="W75">
        <v>4.5</v>
      </c>
    </row>
  </sheetData>
  <mergeCells count="22">
    <mergeCell ref="M20:M22"/>
    <mergeCell ref="C36:F36"/>
    <mergeCell ref="C54:F54"/>
    <mergeCell ref="M24:M29"/>
    <mergeCell ref="C3:F3"/>
    <mergeCell ref="C19:F19"/>
    <mergeCell ref="M4:M6"/>
    <mergeCell ref="M8:M10"/>
    <mergeCell ref="M12:M14"/>
    <mergeCell ref="M16:M18"/>
    <mergeCell ref="M37:M39"/>
    <mergeCell ref="M32:M35"/>
    <mergeCell ref="M42:M44"/>
    <mergeCell ref="M47:M49"/>
    <mergeCell ref="S73:S75"/>
    <mergeCell ref="S69:S71"/>
    <mergeCell ref="M69:M71"/>
    <mergeCell ref="M73:M75"/>
    <mergeCell ref="M51:M53"/>
    <mergeCell ref="M56:M58"/>
    <mergeCell ref="M60:M62"/>
    <mergeCell ref="M65:M67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077A5-9478-4E37-A769-CD0DFBBC0001}">
  <dimension ref="B2:C112"/>
  <sheetViews>
    <sheetView topLeftCell="A61" workbookViewId="0">
      <selection activeCell="B64" sqref="B64:C84"/>
    </sheetView>
  </sheetViews>
  <sheetFormatPr defaultRowHeight="14.4" x14ac:dyDescent="0.3"/>
  <cols>
    <col min="3" max="3" width="9.44140625" bestFit="1" customWidth="1"/>
  </cols>
  <sheetData>
    <row r="2" spans="2:3" x14ac:dyDescent="0.3">
      <c r="B2" s="18">
        <v>9</v>
      </c>
      <c r="C2" s="6">
        <v>0.35148467432950176</v>
      </c>
    </row>
    <row r="3" spans="2:3" x14ac:dyDescent="0.3">
      <c r="B3" s="18">
        <v>16</v>
      </c>
      <c r="C3" s="6">
        <v>0.39829980842911872</v>
      </c>
    </row>
    <row r="4" spans="2:3" x14ac:dyDescent="0.3">
      <c r="B4" s="18">
        <v>18</v>
      </c>
      <c r="C4" s="6">
        <v>0.44183429118773948</v>
      </c>
    </row>
    <row r="5" spans="2:3" x14ac:dyDescent="0.3">
      <c r="B5" s="18">
        <v>14</v>
      </c>
      <c r="C5" s="6">
        <v>0.41032088122605359</v>
      </c>
    </row>
    <row r="6" spans="2:3" x14ac:dyDescent="0.3">
      <c r="B6" s="18">
        <v>13</v>
      </c>
      <c r="C6" s="6">
        <v>0.31537356321839072</v>
      </c>
    </row>
    <row r="7" spans="2:3" ht="15" thickBot="1" x14ac:dyDescent="0.35">
      <c r="B7" s="12">
        <v>20</v>
      </c>
      <c r="C7" s="14">
        <v>0.37444923371647498</v>
      </c>
    </row>
    <row r="8" spans="2:3" x14ac:dyDescent="0.3">
      <c r="B8" s="18"/>
    </row>
    <row r="9" spans="2:3" x14ac:dyDescent="0.3">
      <c r="B9" s="18">
        <v>9</v>
      </c>
      <c r="C9">
        <v>19.101379310344825</v>
      </c>
    </row>
    <row r="10" spans="2:3" x14ac:dyDescent="0.3">
      <c r="B10" s="18">
        <v>16</v>
      </c>
      <c r="C10">
        <v>18.126551724137929</v>
      </c>
    </row>
    <row r="11" spans="2:3" x14ac:dyDescent="0.3">
      <c r="B11" s="18">
        <v>20</v>
      </c>
      <c r="C11">
        <v>16.916206896551728</v>
      </c>
    </row>
    <row r="12" spans="2:3" x14ac:dyDescent="0.3">
      <c r="B12" s="18">
        <v>13</v>
      </c>
      <c r="C12">
        <v>16.957931034482758</v>
      </c>
    </row>
    <row r="13" spans="2:3" x14ac:dyDescent="0.3">
      <c r="B13" s="18">
        <v>14</v>
      </c>
      <c r="C13">
        <v>18.466551724137929</v>
      </c>
    </row>
    <row r="14" spans="2:3" x14ac:dyDescent="0.3">
      <c r="B14" s="18">
        <v>18</v>
      </c>
      <c r="C14">
        <v>16.945862068965518</v>
      </c>
    </row>
    <row r="17" spans="2:3" x14ac:dyDescent="0.3">
      <c r="B17">
        <v>21</v>
      </c>
      <c r="C17" s="28">
        <v>0.34288793103448284</v>
      </c>
    </row>
    <row r="18" spans="2:3" x14ac:dyDescent="0.3">
      <c r="B18">
        <v>4</v>
      </c>
      <c r="C18" s="28">
        <v>0.35937499999999994</v>
      </c>
    </row>
    <row r="19" spans="2:3" x14ac:dyDescent="0.3">
      <c r="B19">
        <v>3</v>
      </c>
      <c r="C19" s="28">
        <v>0.3131250000000001</v>
      </c>
    </row>
    <row r="20" spans="2:3" x14ac:dyDescent="0.3">
      <c r="B20">
        <v>7</v>
      </c>
      <c r="C20" s="28">
        <v>0.33139367816091952</v>
      </c>
    </row>
    <row r="21" spans="2:3" x14ac:dyDescent="0.3">
      <c r="B21">
        <v>5</v>
      </c>
      <c r="C21" s="28">
        <v>0.34410919540229878</v>
      </c>
    </row>
    <row r="23" spans="2:3" x14ac:dyDescent="0.3">
      <c r="B23" s="18">
        <v>3</v>
      </c>
      <c r="C23">
        <v>17.769666666666669</v>
      </c>
    </row>
    <row r="24" spans="2:3" x14ac:dyDescent="0.3">
      <c r="B24" s="18">
        <v>7</v>
      </c>
      <c r="C24">
        <v>17.051724137931036</v>
      </c>
    </row>
    <row r="25" spans="2:3" x14ac:dyDescent="0.3">
      <c r="B25" s="18">
        <v>21</v>
      </c>
      <c r="C25">
        <v>17.006551724137932</v>
      </c>
    </row>
    <row r="26" spans="2:3" x14ac:dyDescent="0.3">
      <c r="B26" s="18">
        <v>5</v>
      </c>
      <c r="C26">
        <v>17.431379310344827</v>
      </c>
    </row>
    <row r="27" spans="2:3" ht="15" thickBot="1" x14ac:dyDescent="0.35">
      <c r="B27" s="12">
        <v>4</v>
      </c>
      <c r="C27" s="8">
        <v>17.619333333333337</v>
      </c>
    </row>
    <row r="30" spans="2:3" x14ac:dyDescent="0.3">
      <c r="B30" s="18">
        <v>17</v>
      </c>
      <c r="C30" s="6">
        <v>0.40819444444444442</v>
      </c>
    </row>
    <row r="31" spans="2:3" x14ac:dyDescent="0.3">
      <c r="B31" s="18">
        <v>8</v>
      </c>
      <c r="C31" s="6">
        <v>0.44851851851851854</v>
      </c>
    </row>
    <row r="32" spans="2:3" x14ac:dyDescent="0.3">
      <c r="B32" s="18">
        <v>15</v>
      </c>
      <c r="C32" s="6">
        <v>0.36060185185185178</v>
      </c>
    </row>
    <row r="33" spans="2:3" x14ac:dyDescent="0.3">
      <c r="B33" s="18">
        <v>12</v>
      </c>
      <c r="C33" s="6">
        <v>0.37756944444444435</v>
      </c>
    </row>
    <row r="34" spans="2:3" x14ac:dyDescent="0.3">
      <c r="B34" s="18">
        <v>10</v>
      </c>
      <c r="C34" s="6">
        <v>0.29363425925925934</v>
      </c>
    </row>
    <row r="35" spans="2:3" ht="15" thickBot="1" x14ac:dyDescent="0.35">
      <c r="B35" s="12">
        <v>19</v>
      </c>
      <c r="C35" s="6">
        <v>0.40043981481481483</v>
      </c>
    </row>
    <row r="38" spans="2:3" x14ac:dyDescent="0.3">
      <c r="B38" s="18">
        <v>17</v>
      </c>
      <c r="C38" s="7">
        <v>19.780333333333338</v>
      </c>
    </row>
    <row r="39" spans="2:3" x14ac:dyDescent="0.3">
      <c r="B39" s="18">
        <v>15</v>
      </c>
      <c r="C39" s="7">
        <v>18.869666666666671</v>
      </c>
    </row>
    <row r="40" spans="2:3" x14ac:dyDescent="0.3">
      <c r="B40" s="18">
        <v>12</v>
      </c>
      <c r="C40" s="7">
        <v>18.828666666666663</v>
      </c>
    </row>
    <row r="41" spans="2:3" x14ac:dyDescent="0.3">
      <c r="B41" s="18">
        <v>10</v>
      </c>
      <c r="C41" s="7">
        <v>19.275333333333332</v>
      </c>
    </row>
    <row r="42" spans="2:3" x14ac:dyDescent="0.3">
      <c r="B42" s="18">
        <v>8</v>
      </c>
      <c r="C42" s="7">
        <v>19.267666666666667</v>
      </c>
    </row>
    <row r="43" spans="2:3" ht="15" thickBot="1" x14ac:dyDescent="0.35">
      <c r="B43" s="12">
        <v>19</v>
      </c>
      <c r="C43" s="7">
        <v>19.972666666666669</v>
      </c>
    </row>
    <row r="45" spans="2:3" x14ac:dyDescent="0.3">
      <c r="B45" s="18">
        <v>2</v>
      </c>
      <c r="C45" s="17">
        <v>0.38053240740740751</v>
      </c>
    </row>
    <row r="46" spans="2:3" x14ac:dyDescent="0.3">
      <c r="B46" s="18">
        <v>11</v>
      </c>
      <c r="C46" s="17">
        <v>0.32664351851851847</v>
      </c>
    </row>
    <row r="47" spans="2:3" x14ac:dyDescent="0.3">
      <c r="B47" s="18">
        <v>1</v>
      </c>
      <c r="C47" s="17">
        <v>0.31777777777777777</v>
      </c>
    </row>
    <row r="48" spans="2:3" x14ac:dyDescent="0.3">
      <c r="B48" s="18">
        <v>6</v>
      </c>
      <c r="C48" s="17">
        <v>0.36087962962962966</v>
      </c>
    </row>
    <row r="49" spans="2:3" x14ac:dyDescent="0.3">
      <c r="B49" s="18">
        <v>21</v>
      </c>
      <c r="C49" s="17">
        <v>0.28583333333333333</v>
      </c>
    </row>
    <row r="51" spans="2:3" x14ac:dyDescent="0.3">
      <c r="B51" s="18">
        <v>11</v>
      </c>
      <c r="C51" s="7">
        <v>15.949666666666667</v>
      </c>
    </row>
    <row r="52" spans="2:3" x14ac:dyDescent="0.3">
      <c r="B52" s="18">
        <v>1</v>
      </c>
      <c r="C52" s="7">
        <v>17.286666666666669</v>
      </c>
    </row>
    <row r="53" spans="2:3" x14ac:dyDescent="0.3">
      <c r="B53" s="18">
        <v>6</v>
      </c>
      <c r="C53" s="7">
        <v>17.541</v>
      </c>
    </row>
    <row r="54" spans="2:3" x14ac:dyDescent="0.3">
      <c r="B54" s="18">
        <v>2</v>
      </c>
      <c r="C54" s="7">
        <v>17.171666666666667</v>
      </c>
    </row>
    <row r="55" spans="2:3" ht="15" thickBot="1" x14ac:dyDescent="0.35">
      <c r="B55" s="12">
        <v>21</v>
      </c>
      <c r="C55" s="23">
        <v>9.7826666666666657</v>
      </c>
    </row>
    <row r="64" spans="2:3" x14ac:dyDescent="0.3">
      <c r="B64" s="18">
        <v>19</v>
      </c>
      <c r="C64" s="7">
        <v>19.972666666666669</v>
      </c>
    </row>
    <row r="65" spans="2:3" x14ac:dyDescent="0.3">
      <c r="B65" s="18">
        <v>17</v>
      </c>
      <c r="C65" s="7">
        <v>19.780333333333338</v>
      </c>
    </row>
    <row r="66" spans="2:3" x14ac:dyDescent="0.3">
      <c r="B66" s="18">
        <v>10</v>
      </c>
      <c r="C66" s="7">
        <v>19.275333333333332</v>
      </c>
    </row>
    <row r="67" spans="2:3" x14ac:dyDescent="0.3">
      <c r="B67" s="18">
        <v>8</v>
      </c>
      <c r="C67" s="7">
        <v>19.267666666666667</v>
      </c>
    </row>
    <row r="68" spans="2:3" x14ac:dyDescent="0.3">
      <c r="B68" s="18">
        <v>9</v>
      </c>
      <c r="C68" s="7">
        <v>19.101379310344825</v>
      </c>
    </row>
    <row r="69" spans="2:3" x14ac:dyDescent="0.3">
      <c r="B69" s="18">
        <v>15</v>
      </c>
      <c r="C69" s="7">
        <v>18.869666666666671</v>
      </c>
    </row>
    <row r="70" spans="2:3" x14ac:dyDescent="0.3">
      <c r="B70" s="18">
        <v>12</v>
      </c>
      <c r="C70" s="7">
        <v>18.828666666666663</v>
      </c>
    </row>
    <row r="71" spans="2:3" x14ac:dyDescent="0.3">
      <c r="B71" s="18">
        <v>14</v>
      </c>
      <c r="C71" s="7">
        <v>18.466551724137929</v>
      </c>
    </row>
    <row r="72" spans="2:3" x14ac:dyDescent="0.3">
      <c r="B72" s="18">
        <v>16</v>
      </c>
      <c r="C72" s="7">
        <v>18.126551724137929</v>
      </c>
    </row>
    <row r="73" spans="2:3" x14ac:dyDescent="0.3">
      <c r="B73" s="18">
        <v>3</v>
      </c>
      <c r="C73" s="7">
        <v>17.769666666666669</v>
      </c>
    </row>
    <row r="74" spans="2:3" ht="15" thickBot="1" x14ac:dyDescent="0.35">
      <c r="B74" s="12">
        <v>4</v>
      </c>
      <c r="C74" s="23">
        <v>17.619333333333337</v>
      </c>
    </row>
    <row r="75" spans="2:3" x14ac:dyDescent="0.3">
      <c r="B75" s="18">
        <v>6</v>
      </c>
      <c r="C75" s="7">
        <v>17.541</v>
      </c>
    </row>
    <row r="76" spans="2:3" x14ac:dyDescent="0.3">
      <c r="B76" s="18">
        <v>5</v>
      </c>
      <c r="C76" s="7">
        <v>17.431379310344827</v>
      </c>
    </row>
    <row r="77" spans="2:3" x14ac:dyDescent="0.3">
      <c r="B77" s="18">
        <v>1</v>
      </c>
      <c r="C77" s="7">
        <v>17.286666666666669</v>
      </c>
    </row>
    <row r="78" spans="2:3" x14ac:dyDescent="0.3">
      <c r="B78" s="18">
        <v>2</v>
      </c>
      <c r="C78" s="7">
        <v>17.171666666666667</v>
      </c>
    </row>
    <row r="79" spans="2:3" x14ac:dyDescent="0.3">
      <c r="B79" s="18">
        <v>7</v>
      </c>
      <c r="C79" s="7">
        <v>17.051724137931036</v>
      </c>
    </row>
    <row r="80" spans="2:3" ht="15" thickBot="1" x14ac:dyDescent="0.35">
      <c r="B80" s="12">
        <v>21</v>
      </c>
      <c r="C80" s="7">
        <v>17.006551724137932</v>
      </c>
    </row>
    <row r="81" spans="2:3" x14ac:dyDescent="0.3">
      <c r="B81" s="18">
        <v>13</v>
      </c>
      <c r="C81" s="7">
        <v>16.957931034482758</v>
      </c>
    </row>
    <row r="82" spans="2:3" x14ac:dyDescent="0.3">
      <c r="B82" s="18">
        <v>18</v>
      </c>
      <c r="C82" s="7">
        <v>16.945862068965518</v>
      </c>
    </row>
    <row r="83" spans="2:3" x14ac:dyDescent="0.3">
      <c r="B83" s="18">
        <v>20</v>
      </c>
      <c r="C83" s="7">
        <v>16.916206896551728</v>
      </c>
    </row>
    <row r="84" spans="2:3" x14ac:dyDescent="0.3">
      <c r="B84" s="18">
        <v>11</v>
      </c>
      <c r="C84" s="7">
        <v>15.949666666666667</v>
      </c>
    </row>
    <row r="87" spans="2:3" x14ac:dyDescent="0.3">
      <c r="C87" s="7">
        <f>AVERAGE(C64:C84)</f>
        <v>17.968403393541326</v>
      </c>
    </row>
    <row r="92" spans="2:3" x14ac:dyDescent="0.3">
      <c r="B92" s="18">
        <v>8</v>
      </c>
      <c r="C92" s="6">
        <v>0.44851851851851854</v>
      </c>
    </row>
    <row r="93" spans="2:3" x14ac:dyDescent="0.3">
      <c r="B93" s="18">
        <v>18</v>
      </c>
      <c r="C93" s="6">
        <v>0.44183429118773948</v>
      </c>
    </row>
    <row r="94" spans="2:3" x14ac:dyDescent="0.3">
      <c r="B94" s="18">
        <v>14</v>
      </c>
      <c r="C94" s="6">
        <v>0.41032088122605359</v>
      </c>
    </row>
    <row r="95" spans="2:3" x14ac:dyDescent="0.3">
      <c r="B95" s="18">
        <v>17</v>
      </c>
      <c r="C95" s="6">
        <v>0.40819444444444442</v>
      </c>
    </row>
    <row r="96" spans="2:3" x14ac:dyDescent="0.3">
      <c r="B96" s="18">
        <v>19</v>
      </c>
      <c r="C96" s="6">
        <v>0.40043981481481483</v>
      </c>
    </row>
    <row r="97" spans="2:3" ht="15" thickBot="1" x14ac:dyDescent="0.35">
      <c r="B97" s="12">
        <v>16</v>
      </c>
      <c r="C97" s="14">
        <v>0.39829980842911872</v>
      </c>
    </row>
    <row r="98" spans="2:3" x14ac:dyDescent="0.3">
      <c r="B98" s="1">
        <v>2</v>
      </c>
      <c r="C98" s="6">
        <v>0.38053240740740751</v>
      </c>
    </row>
    <row r="99" spans="2:3" x14ac:dyDescent="0.3">
      <c r="B99" s="1">
        <v>12</v>
      </c>
      <c r="C99" s="6">
        <v>0.37756944444444435</v>
      </c>
    </row>
    <row r="100" spans="2:3" x14ac:dyDescent="0.3">
      <c r="B100" s="1">
        <v>20</v>
      </c>
      <c r="C100" s="6">
        <v>0.37444923371647498</v>
      </c>
    </row>
    <row r="101" spans="2:3" x14ac:dyDescent="0.3">
      <c r="B101" s="1">
        <v>6</v>
      </c>
      <c r="C101" s="6">
        <v>0.36087962962962966</v>
      </c>
    </row>
    <row r="102" spans="2:3" x14ac:dyDescent="0.3">
      <c r="B102" s="1">
        <v>15</v>
      </c>
      <c r="C102" s="6">
        <v>0.36060185185185178</v>
      </c>
    </row>
    <row r="103" spans="2:3" x14ac:dyDescent="0.3">
      <c r="B103" s="16">
        <v>4</v>
      </c>
      <c r="C103" s="28">
        <v>0.35937499999999994</v>
      </c>
    </row>
    <row r="104" spans="2:3" x14ac:dyDescent="0.3">
      <c r="B104" s="18">
        <v>9</v>
      </c>
      <c r="C104" s="6">
        <v>0.35148467432950176</v>
      </c>
    </row>
    <row r="105" spans="2:3" x14ac:dyDescent="0.3">
      <c r="B105" s="16">
        <v>5</v>
      </c>
      <c r="C105" s="28">
        <v>0.34410919540229878</v>
      </c>
    </row>
    <row r="106" spans="2:3" x14ac:dyDescent="0.3">
      <c r="B106" s="16">
        <v>21</v>
      </c>
      <c r="C106" s="28">
        <v>0.34288793103448284</v>
      </c>
    </row>
    <row r="107" spans="2:3" x14ac:dyDescent="0.3">
      <c r="B107" s="16">
        <v>7</v>
      </c>
      <c r="C107" s="28">
        <v>0.33139367816091952</v>
      </c>
    </row>
    <row r="108" spans="2:3" ht="15" thickBot="1" x14ac:dyDescent="0.35">
      <c r="B108" s="12">
        <v>11</v>
      </c>
      <c r="C108" s="6">
        <v>0.32664351851851847</v>
      </c>
    </row>
    <row r="109" spans="2:3" x14ac:dyDescent="0.3">
      <c r="B109" s="18">
        <v>1</v>
      </c>
      <c r="C109" s="17">
        <v>0.31777777777777777</v>
      </c>
    </row>
    <row r="110" spans="2:3" x14ac:dyDescent="0.3">
      <c r="B110" s="18">
        <v>13</v>
      </c>
      <c r="C110" s="17">
        <v>0.31537356321839072</v>
      </c>
    </row>
    <row r="111" spans="2:3" x14ac:dyDescent="0.3">
      <c r="B111" s="16">
        <v>3</v>
      </c>
      <c r="C111" s="29">
        <v>0.3131250000000001</v>
      </c>
    </row>
    <row r="112" spans="2:3" x14ac:dyDescent="0.3">
      <c r="B112" s="18">
        <v>10</v>
      </c>
      <c r="C112" s="17">
        <v>0.29363425925925934</v>
      </c>
    </row>
  </sheetData>
  <sortState xmlns:xlrd2="http://schemas.microsoft.com/office/spreadsheetml/2017/richdata2" ref="B92:C112">
    <sortCondition descending="1" ref="C92:C112"/>
  </sortState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A87FE-447C-4279-858D-89B8B5BA7CDC}">
  <dimension ref="A1:B22"/>
  <sheetViews>
    <sheetView tabSelected="1" workbookViewId="0">
      <selection activeCell="B2" sqref="B2:B22"/>
    </sheetView>
  </sheetViews>
  <sheetFormatPr defaultRowHeight="14.4" x14ac:dyDescent="0.3"/>
  <sheetData>
    <row r="1" spans="1:2" x14ac:dyDescent="0.3">
      <c r="A1" t="s">
        <v>49</v>
      </c>
      <c r="B1" t="s">
        <v>50</v>
      </c>
    </row>
    <row r="2" spans="1:2" x14ac:dyDescent="0.3">
      <c r="A2" s="18">
        <v>1</v>
      </c>
      <c r="B2" s="7">
        <v>17.286666666666669</v>
      </c>
    </row>
    <row r="3" spans="1:2" x14ac:dyDescent="0.3">
      <c r="A3" s="18">
        <v>2</v>
      </c>
      <c r="B3" s="7">
        <v>17.171666666666667</v>
      </c>
    </row>
    <row r="4" spans="1:2" x14ac:dyDescent="0.3">
      <c r="A4" s="18">
        <v>3</v>
      </c>
      <c r="B4" s="7">
        <v>17.769666666666669</v>
      </c>
    </row>
    <row r="5" spans="1:2" x14ac:dyDescent="0.3">
      <c r="A5" s="18">
        <v>4</v>
      </c>
      <c r="B5" s="7">
        <v>17.619333333333337</v>
      </c>
    </row>
    <row r="6" spans="1:2" x14ac:dyDescent="0.3">
      <c r="A6" s="18">
        <v>5</v>
      </c>
      <c r="B6" s="7">
        <v>17.431379310344827</v>
      </c>
    </row>
    <row r="7" spans="1:2" x14ac:dyDescent="0.3">
      <c r="A7" s="18">
        <v>6</v>
      </c>
      <c r="B7" s="7">
        <v>17.541</v>
      </c>
    </row>
    <row r="8" spans="1:2" x14ac:dyDescent="0.3">
      <c r="A8" s="18">
        <v>7</v>
      </c>
      <c r="B8" s="7">
        <v>17.051724137931036</v>
      </c>
    </row>
    <row r="9" spans="1:2" x14ac:dyDescent="0.3">
      <c r="A9" s="18">
        <v>8</v>
      </c>
      <c r="B9" s="7">
        <v>19.267666666666667</v>
      </c>
    </row>
    <row r="10" spans="1:2" x14ac:dyDescent="0.3">
      <c r="A10" s="18">
        <v>9</v>
      </c>
      <c r="B10" s="7">
        <v>19.101379310344825</v>
      </c>
    </row>
    <row r="11" spans="1:2" x14ac:dyDescent="0.3">
      <c r="A11" s="18">
        <v>10</v>
      </c>
      <c r="B11" s="7">
        <v>19.275333333333332</v>
      </c>
    </row>
    <row r="12" spans="1:2" ht="15" thickBot="1" x14ac:dyDescent="0.35">
      <c r="A12" s="12">
        <v>11</v>
      </c>
      <c r="B12" s="23">
        <v>15.949666666666667</v>
      </c>
    </row>
    <row r="13" spans="1:2" x14ac:dyDescent="0.3">
      <c r="A13" s="18">
        <v>12</v>
      </c>
      <c r="B13" s="7">
        <v>18.828666666666663</v>
      </c>
    </row>
    <row r="14" spans="1:2" x14ac:dyDescent="0.3">
      <c r="A14" s="18">
        <v>13</v>
      </c>
      <c r="B14" s="7">
        <v>16.957931034482758</v>
      </c>
    </row>
    <row r="15" spans="1:2" x14ac:dyDescent="0.3">
      <c r="A15" s="18">
        <v>14</v>
      </c>
      <c r="B15" s="7">
        <v>18.466551724137929</v>
      </c>
    </row>
    <row r="16" spans="1:2" x14ac:dyDescent="0.3">
      <c r="A16" s="18">
        <v>15</v>
      </c>
      <c r="B16" s="7">
        <v>18.869666666666671</v>
      </c>
    </row>
    <row r="17" spans="1:2" x14ac:dyDescent="0.3">
      <c r="A17" s="18">
        <v>16</v>
      </c>
      <c r="B17" s="7">
        <v>18.126551724137929</v>
      </c>
    </row>
    <row r="18" spans="1:2" ht="15" thickBot="1" x14ac:dyDescent="0.35">
      <c r="A18" s="12">
        <v>17</v>
      </c>
      <c r="B18" s="7">
        <v>19.780333333333338</v>
      </c>
    </row>
    <row r="19" spans="1:2" x14ac:dyDescent="0.3">
      <c r="A19" s="18">
        <v>18</v>
      </c>
      <c r="B19" s="7">
        <v>16.945862068965518</v>
      </c>
    </row>
    <row r="20" spans="1:2" x14ac:dyDescent="0.3">
      <c r="A20" s="18">
        <v>19</v>
      </c>
      <c r="B20" s="7">
        <v>19.972666666666669</v>
      </c>
    </row>
    <row r="21" spans="1:2" x14ac:dyDescent="0.3">
      <c r="A21" s="18">
        <v>20</v>
      </c>
      <c r="B21" s="7">
        <v>16.916206896551728</v>
      </c>
    </row>
    <row r="22" spans="1:2" x14ac:dyDescent="0.3">
      <c r="A22" s="18">
        <v>21</v>
      </c>
      <c r="B22" s="7">
        <v>17.006551724137932</v>
      </c>
    </row>
  </sheetData>
  <sortState xmlns:xlrd2="http://schemas.microsoft.com/office/spreadsheetml/2017/richdata2" ref="A2:B22">
    <sortCondition ref="A2:A22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Ton_planoA</vt:lpstr>
      <vt:lpstr>Tempo_planoA</vt:lpstr>
      <vt:lpstr>Seg_ter_planoB</vt:lpstr>
      <vt:lpstr>Plano_C</vt:lpstr>
      <vt:lpstr>Gráficos_plano_C</vt:lpstr>
      <vt:lpstr>ton_prev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Ferri Hilário</dc:creator>
  <cp:lastModifiedBy>Felipe Ferri Hilário</cp:lastModifiedBy>
  <dcterms:created xsi:type="dcterms:W3CDTF">2025-11-05T13:21:17Z</dcterms:created>
  <dcterms:modified xsi:type="dcterms:W3CDTF">2026-01-06T19:55:19Z</dcterms:modified>
</cp:coreProperties>
</file>